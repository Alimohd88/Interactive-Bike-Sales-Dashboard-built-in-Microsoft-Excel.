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ESKTOP\alex_analyst_DA_job_bootcamp\excel\"/>
    </mc:Choice>
  </mc:AlternateContent>
  <xr:revisionPtr revIDLastSave="0" documentId="13_ncr:1_{0746962C-EDF5-4BE9-A4EC-99F3FE0194E6}" xr6:coauthVersionLast="47" xr6:coauthVersionMax="47" xr10:uidLastSave="{00000000-0000-0000-0000-000000000000}"/>
  <bookViews>
    <workbookView xWindow="-120" yWindow="-120" windowWidth="29040" windowHeight="15720" firstSheet="1" activeTab="1" xr2:uid="{00000000-000D-0000-FFFF-FFFF00000000}"/>
  </bookViews>
  <sheets>
    <sheet name="bike_buyers" sheetId="1" r:id="rId1"/>
    <sheet name="workig_sheet" sheetId="2" r:id="rId2"/>
    <sheet name="pivot" sheetId="3" r:id="rId3"/>
    <sheet name="dashboard" sheetId="4" r:id="rId4"/>
  </sheets>
  <definedNames>
    <definedName name="_xlnm._FilterDatabase" localSheetId="0" hidden="1">bike_buyers!$A$1:$M$1001</definedName>
    <definedName name="_xlnm._FilterDatabase" localSheetId="1" hidden="1">workig_sheet!$A$1:$N$1001</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<sst xmlns="http://schemas.openxmlformats.org/spreadsheetml/2006/main" count="16277" uniqueCount="56">
  <si>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</si>
  <si>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</si>
  <si>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</si>
  <si>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</si>
  <si>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</si>
  <si>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</si>
  <si>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</si>
  <si>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</si>
  <si>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</si>
  <si>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</si>
  <si>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</si>
  <si>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</si>
  <si>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</si>
  <si>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</si>
  <si>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</si>
  <si>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</si>
  <si>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</si>
  <si>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</si>
  <si>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</si>
  <si>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</si>
  <si>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</si>
  <si>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</si>
  <si>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</si>
  <si>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</si>
  <si>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</si>
  <si>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</si>
  <si>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</si>
  <si>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</si>
  <si>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</si>
  <si>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</si>
  <si>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</si>
  <si>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</si>
  <si>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</si>
  <si>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</si>
  <si>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</si>
  <si>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</si>
  <si>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</si>
  <si>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</si>
  <si>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</si>
  <si>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</si>
  <si>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</si>
  <si>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</si>
  <si>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Martial Status</t>
  </si>
  <si>
    <t>Row Labels</t>
  </si>
  <si>
    <t>Grand Total</t>
  </si>
  <si>
    <t>Average of Income</t>
  </si>
  <si>
    <t>Column Labels</t>
  </si>
  <si>
    <t>"What is the average income of males and females, based on whether they purchased a bike or not?"</t>
  </si>
  <si>
    <t>Middle Age</t>
  </si>
  <si>
    <t>Adolescent</t>
  </si>
  <si>
    <t>Old</t>
  </si>
  <si>
    <t>Count of Purchased Bike</t>
  </si>
  <si>
    <t>Bike Purchases by Commute Distance</t>
  </si>
  <si>
    <t>More than 10 miles</t>
  </si>
  <si>
    <t>Bike purchase as per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</si>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</sst>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16"/>
      <color theme="0" tint="-0.34998626667073579"/>
      <name val="Calibri"/>
      <family val="2"/>
      <scheme val="minor"/>
    </font>
    <font>
      <b/>
      <u/>
      <sz val="11"/>
      <color theme="0" tint="-0.34998626667073579"/>
      <name val="Calibri"/>
      <family val="2"/>
      <scheme val="minor"/>
    </font>
    <font>
      <sz val="11"/>
      <color theme="0" tint="-0.34998626667073579"/>
      <name val="Calibri"/>
      <family val="2"/>
      <scheme val="minor"/>
    </font>
    <font>
      <sz val="14"/>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10" xfId="0" applyFont="1" applyBorder="1"/>
    <xf numFmtId="0" fontId="20" fillId="0" borderId="10" xfId="0" applyFont="1" applyBorder="1"/>
    <xf numFmtId="0" fontId="21" fillId="0" borderId="10" xfId="0" applyFont="1" applyBorder="1"/>
    <xf numFmtId="0" fontId="23" fillId="33" borderId="0" xfId="0" applyFont="1" applyFill="1" applyAlignment="1">
      <alignment horizontal="center" vertical="top"/>
    </xf>
    <xf numFmtId="0" fontId="22" fillId="0" borderId="10" xfId="0" applyFont="1" applyBorder="1" applyAlignment="1">
      <alignment horizontal="center"/>
    </xf>
    <xf numFmtId="0" fontId="0" fillId="0" borderId="10" xfId="0" applyBorder="1" applyAlignment="1">
      <alignment horizontal="center"/>
    </xf>
    <xf numFmtId="0" fontId="22"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[$$-409]#,##0</c:formatCode>
                <c:ptCount val="2"/>
                <c:pt idx="0">
                  <c:v>53440</c:v>
                </c:pt>
                <c:pt idx="1">
                  <c:v>56208.178438661707</c:v>
                </c:pt>
              </c:numCache>
            </c:numRef>
          </c:val>
          <c:extLst>
            <c:ext xmlns:c16="http://schemas.microsoft.com/office/drawing/2014/chart" uri="{C3380CC4-5D6E-409C-BE32-E72D297353CC}">
              <c16:uniqueId val="{00000000-5609-4848-B3C5-7790FC220D92}"/>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[$$-409]#,##0</c:formatCode>
                <c:ptCount val="2"/>
                <c:pt idx="0">
                  <c:v>55774.058577405856</c:v>
                </c:pt>
                <c:pt idx="1">
                  <c:v>60123.966942148763</c:v>
                </c:pt>
              </c:numCache>
            </c:numRef>
          </c:val>
          <c:extLst>
            <c:ext xmlns:c16="http://schemas.microsoft.com/office/drawing/2014/chart" uri="{C3380CC4-5D6E-409C-BE32-E72D297353CC}">
              <c16:uniqueId val="{00000004-5609-4848-B3C5-7790FC220D92}"/>
            </c:ext>
          </c:extLst>
        </c:ser>
        <c:dLbls>
          <c:showLegendKey val="0"/>
          <c:showVal val="0"/>
          <c:showCatName val="0"/>
          <c:showSerName val="0"/>
          <c:showPercent val="0"/>
          <c:showBubbleSize val="0"/>
        </c:dLbls>
        <c:gapWidth val="219"/>
        <c:overlap val="-27"/>
        <c:axId val="3356320"/>
        <c:axId val="3356800"/>
      </c:barChart>
      <c:catAx>
        <c:axId val="335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800"/>
        <c:crosses val="autoZero"/>
        <c:auto val="1"/>
        <c:lblAlgn val="ctr"/>
        <c:lblOffset val="100"/>
        <c:noMultiLvlLbl val="0"/>
      </c:catAx>
      <c:valAx>
        <c:axId val="33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6911759269521E-2"/>
          <c:y val="0.28096957724965682"/>
          <c:w val="0.70347650205696111"/>
          <c:h val="0.35779912383989521"/>
        </c:manualLayout>
      </c:layout>
      <c:lineChart>
        <c:grouping val="standard"/>
        <c:varyColors val="0"/>
        <c:ser>
          <c:idx val="0"/>
          <c:order val="0"/>
          <c:tx>
            <c:strRef>
              <c:f>pivot!$B$26:$B$27</c:f>
              <c:strCache>
                <c:ptCount val="1"/>
                <c:pt idx="0">
                  <c:v>No</c:v>
                </c:pt>
              </c:strCache>
            </c:strRef>
          </c:tx>
          <c:spPr>
            <a:ln w="28575" cap="rnd">
              <a:solidFill>
                <a:schemeClr val="accent1"/>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1B4-4934-B8BD-E71715355B05}"/>
            </c:ext>
          </c:extLst>
        </c:ser>
        <c:ser>
          <c:idx val="1"/>
          <c:order val="1"/>
          <c:tx>
            <c:strRef>
              <c:f>pivot!$C$26:$C$27</c:f>
              <c:strCache>
                <c:ptCount val="1"/>
                <c:pt idx="0">
                  <c:v>Yes</c:v>
                </c:pt>
              </c:strCache>
            </c:strRef>
          </c:tx>
          <c:spPr>
            <a:ln w="28575" cap="rnd">
              <a:solidFill>
                <a:schemeClr val="accent2"/>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E1B4-4934-B8BD-E71715355B05}"/>
            </c:ext>
          </c:extLst>
        </c:ser>
        <c:dLbls>
          <c:showLegendKey val="0"/>
          <c:showVal val="0"/>
          <c:showCatName val="0"/>
          <c:showSerName val="0"/>
          <c:showPercent val="0"/>
          <c:showBubbleSize val="0"/>
        </c:dLbls>
        <c:smooth val="0"/>
        <c:axId val="2045588576"/>
        <c:axId val="2045609216"/>
      </c:lineChart>
      <c:catAx>
        <c:axId val="2045588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09216"/>
        <c:crosses val="autoZero"/>
        <c:auto val="1"/>
        <c:lblAlgn val="ctr"/>
        <c:lblOffset val="100"/>
        <c:noMultiLvlLbl val="0"/>
      </c:catAx>
      <c:valAx>
        <c:axId val="204560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pivot!$B$45:$B$46</c:f>
              <c:strCache>
                <c:ptCount val="1"/>
                <c:pt idx="0">
                  <c:v>No</c:v>
                </c:pt>
              </c:strCache>
            </c:strRef>
          </c:tx>
          <c:spPr>
            <a:ln w="28575" cap="rnd">
              <a:solidFill>
                <a:schemeClr val="accent1"/>
              </a:solidFill>
              <a:round/>
            </a:ln>
            <a:effectLst/>
          </c:spPr>
          <c:marker>
            <c:symbol val="none"/>
          </c:marker>
          <c:cat>
            <c:strRef>
              <c:f>pivot!$A$47:$A$50</c:f>
              <c:strCache>
                <c:ptCount val="3"/>
                <c:pt idx="0">
                  <c:v>Adolescent</c:v>
                </c:pt>
                <c:pt idx="1">
                  <c:v>Middle Age</c:v>
                </c:pt>
                <c:pt idx="2">
                  <c:v>Old</c:v>
                </c:pt>
              </c:strCache>
            </c:strRef>
          </c:cat>
          <c:val>
            <c:numRef>
              <c:f>pivot!$B$47:$B$50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1A5-461B-B3EC-806EC47AB363}"/>
            </c:ext>
          </c:extLst>
        </c:ser>
        <c:ser>
          <c:idx val="1"/>
          <c:order val="1"/>
          <c:tx>
            <c:strRef>
              <c:f>pivot!$C$45:$C$46</c:f>
              <c:strCache>
                <c:ptCount val="1"/>
                <c:pt idx="0">
                  <c:v>Yes</c:v>
                </c:pt>
              </c:strCache>
            </c:strRef>
          </c:tx>
          <c:spPr>
            <a:ln w="28575" cap="rnd">
              <a:solidFill>
                <a:schemeClr val="accent2"/>
              </a:solidFill>
              <a:round/>
            </a:ln>
            <a:effectLst/>
          </c:spPr>
          <c:marker>
            <c:symbol val="none"/>
          </c:marker>
          <c:cat>
            <c:strRef>
              <c:f>pivot!$A$47:$A$50</c:f>
              <c:strCache>
                <c:ptCount val="3"/>
                <c:pt idx="0">
                  <c:v>Adolescent</c:v>
                </c:pt>
                <c:pt idx="1">
                  <c:v>Middle Age</c:v>
                </c:pt>
                <c:pt idx="2">
                  <c:v>Old</c:v>
                </c:pt>
              </c:strCache>
            </c:strRef>
          </c:cat>
          <c:val>
            <c:numRef>
              <c:f>pivot!$C$47:$C$50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21A5-461B-B3EC-806EC47AB363}"/>
            </c:ext>
          </c:extLst>
        </c:ser>
        <c:dLbls>
          <c:showLegendKey val="0"/>
          <c:showVal val="0"/>
          <c:showCatName val="0"/>
          <c:showSerName val="0"/>
          <c:showPercent val="0"/>
          <c:showBubbleSize val="0"/>
        </c:dLbls>
        <c:smooth val="0"/>
        <c:axId val="242640928"/>
        <c:axId val="242641408"/>
      </c:lineChart>
      <c:catAx>
        <c:axId val="24264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41408"/>
        <c:crosses val="autoZero"/>
        <c:auto val="1"/>
        <c:lblAlgn val="ctr"/>
        <c:lblOffset val="100"/>
        <c:noMultiLvlLbl val="0"/>
      </c:catAx>
      <c:valAx>
        <c:axId val="24264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4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pivot!$B$65:$B$66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pivot!$B$67:$B$120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4F4-462F-806A-915C58F7394B}"/>
            </c:ext>
          </c:extLst>
        </c:ser>
        <c:ser>
          <c:idx val="1"/>
          <c:order val="1"/>
          <c:tx>
            <c:strRef>
              <c:f>pivot!$C$65:$C$66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pivot!$C$67:$C$120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4-F4F4-462F-806A-915C58F7394B}"/>
            </c:ext>
          </c:extLst>
        </c:ser>
        <c:dLbls>
          <c:showLegendKey val="0"/>
          <c:showVal val="0"/>
          <c:showCatName val="0"/>
          <c:showSerName val="0"/>
          <c:showPercent val="0"/>
          <c:showBubbleSize val="0"/>
        </c:dLbls>
        <c:marker val="1"/>
        <c:smooth val="0"/>
        <c:axId val="242596288"/>
        <c:axId val="242594368"/>
      </c:lineChart>
      <c:catAx>
        <c:axId val="24259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94368"/>
        <c:crosses val="autoZero"/>
        <c:auto val="1"/>
        <c:lblAlgn val="ctr"/>
        <c:lblOffset val="100"/>
        <c:noMultiLvlLbl val="0"/>
      </c:catAx>
      <c:valAx>
        <c:axId val="24259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9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6911759269521E-2"/>
          <c:y val="0.28096957724965682"/>
          <c:w val="0.70347650205696111"/>
          <c:h val="0.35779912383989521"/>
        </c:manualLayout>
      </c:layout>
      <c:lineChart>
        <c:grouping val="standard"/>
        <c:varyColors val="0"/>
        <c:ser>
          <c:idx val="0"/>
          <c:order val="0"/>
          <c:tx>
            <c:strRef>
              <c:f>pivot!$B$26:$B$27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pivot!$A$28:$A$33</c:f>
              <c:strCache>
                <c:ptCount val="5"/>
                <c:pt idx="0">
                  <c:v>0-1 Miles</c:v>
                </c:pt>
                <c:pt idx="1">
                  <c:v>1-2 Miles</c:v>
                </c:pt>
                <c:pt idx="2">
                  <c:v>2-5 Miles</c:v>
                </c:pt>
                <c:pt idx="3">
                  <c:v>5-10 Miles</c:v>
                </c:pt>
                <c:pt idx="4">
                  <c:v>More than 10 miles</c:v>
                </c:pt>
              </c:strCache>
            </c:strRef>
          </c:cat>
          <c:val>
            <c:numRef>
              <c:f>pivot!$B$28:$B$33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2A-4168-B763-3537BB374512}"/>
            </c:ext>
          </c:extLst>
        </c:ser>
        <c:ser>
          <c:idx val="1"/>
          <c:order val="1"/>
          <c:tx>
            <c:strRef>
              <c:f>pivot!$C$26:$C$27</c:f>
              <c:strCache>
                <c:ptCount val="1"/>
                <c:pt idx="0">
                  <c:v>Yes</c:v>
                </c:pt>
              </c:strCache>
            </c:strRef>
          </c:tx>
          <c:spPr>
            <a:ln w="31750" cap="rnd">
              <a:solidFill>
                <a:schemeClr val="accent2"/>
              </a:solidFill>
              <a:round/>
            </a:ln>
            <a:effectLst/>
          </c:spPr>
          <c:marker>
            <c:symbol val="none"/>
          </c:marker>
          <c:cat>
            <c:strRef>
              <c:f>pivot!$A$28:$A$33</c:f>
              <c:strCache>
                <c:ptCount val="5"/>
                <c:pt idx="0">
                  <c:v>0-1 Miles</c:v>
                </c:pt>
                <c:pt idx="1">
                  <c:v>1-2 Miles</c:v>
                </c:pt>
                <c:pt idx="2">
                  <c:v>2-5 Miles</c:v>
                </c:pt>
                <c:pt idx="3">
                  <c:v>5-10 Miles</c:v>
                </c:pt>
                <c:pt idx="4">
                  <c:v>More than 10 miles</c:v>
                </c:pt>
              </c:strCache>
            </c:strRef>
          </c:cat>
          <c:val>
            <c:numRef>
              <c:f>pivot!$C$28:$C$33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4C2A-4168-B763-3537BB374512}"/>
            </c:ext>
          </c:extLst>
        </c:ser>
        <c:dLbls>
          <c:showLegendKey val="0"/>
          <c:showVal val="0"/>
          <c:showCatName val="0"/>
          <c:showSerName val="0"/>
          <c:showPercent val="0"/>
          <c:showBubbleSize val="0"/>
        </c:dLbls>
        <c:marker val="1"/>
        <c:smooth val="0"/>
        <c:axId val="2045588576"/>
        <c:axId val="2045609216"/>
      </c:lineChart>
      <c:catAx>
        <c:axId val="20455885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609216"/>
        <c:crosses val="autoZero"/>
        <c:auto val="1"/>
        <c:lblAlgn val="ctr"/>
        <c:lblOffset val="100"/>
        <c:noMultiLvlLbl val="0"/>
      </c:catAx>
      <c:valAx>
        <c:axId val="20456092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5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pivot!$B$45:$B$46</c:f>
              <c:strCache>
                <c:ptCount val="1"/>
                <c:pt idx="0">
                  <c:v>No</c:v>
                </c:pt>
              </c:strCache>
            </c:strRef>
          </c:tx>
          <c:spPr>
            <a:ln w="28575" cap="rnd">
              <a:solidFill>
                <a:schemeClr val="accent1"/>
              </a:solidFill>
              <a:round/>
            </a:ln>
            <a:effectLst/>
          </c:spPr>
          <c:marker>
            <c:symbol val="none"/>
          </c:marker>
          <c:cat>
            <c:strRef>
              <c:f>pivot!$A$47:$A$50</c:f>
              <c:strCache>
                <c:ptCount val="3"/>
                <c:pt idx="0">
                  <c:v>Adolescent</c:v>
                </c:pt>
                <c:pt idx="1">
                  <c:v>Middle Age</c:v>
                </c:pt>
                <c:pt idx="2">
                  <c:v>Old</c:v>
                </c:pt>
              </c:strCache>
            </c:strRef>
          </c:cat>
          <c:val>
            <c:numRef>
              <c:f>pivot!$B$47:$B$50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06A-440E-AB32-771D97A91116}"/>
            </c:ext>
          </c:extLst>
        </c:ser>
        <c:ser>
          <c:idx val="1"/>
          <c:order val="1"/>
          <c:tx>
            <c:strRef>
              <c:f>pivot!$C$45:$C$46</c:f>
              <c:strCache>
                <c:ptCount val="1"/>
                <c:pt idx="0">
                  <c:v>Yes</c:v>
                </c:pt>
              </c:strCache>
            </c:strRef>
          </c:tx>
          <c:spPr>
            <a:ln w="28575" cap="rnd">
              <a:solidFill>
                <a:schemeClr val="accent2"/>
              </a:solidFill>
              <a:round/>
            </a:ln>
            <a:effectLst/>
          </c:spPr>
          <c:marker>
            <c:symbol val="none"/>
          </c:marker>
          <c:cat>
            <c:strRef>
              <c:f>pivot!$A$47:$A$50</c:f>
              <c:strCache>
                <c:ptCount val="3"/>
                <c:pt idx="0">
                  <c:v>Adolescent</c:v>
                </c:pt>
                <c:pt idx="1">
                  <c:v>Middle Age</c:v>
                </c:pt>
                <c:pt idx="2">
                  <c:v>Old</c:v>
                </c:pt>
              </c:strCache>
            </c:strRef>
          </c:cat>
          <c:val>
            <c:numRef>
              <c:f>pivot!$C$47:$C$50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706A-440E-AB32-771D97A91116}"/>
            </c:ext>
          </c:extLst>
        </c:ser>
        <c:dLbls>
          <c:showLegendKey val="0"/>
          <c:showVal val="0"/>
          <c:showCatName val="0"/>
          <c:showSerName val="0"/>
          <c:showPercent val="0"/>
          <c:showBubbleSize val="0"/>
        </c:dLbls>
        <c:smooth val="0"/>
        <c:axId val="242640928"/>
        <c:axId val="242641408"/>
      </c:lineChart>
      <c:catAx>
        <c:axId val="24264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41408"/>
        <c:crosses val="autoZero"/>
        <c:auto val="1"/>
        <c:lblAlgn val="ctr"/>
        <c:lblOffset val="100"/>
        <c:noMultiLvlLbl val="0"/>
      </c:catAx>
      <c:valAx>
        <c:axId val="24264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4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[$$-409]#,##0</c:formatCode>
                <c:ptCount val="2"/>
                <c:pt idx="0">
                  <c:v>53440</c:v>
                </c:pt>
                <c:pt idx="1">
                  <c:v>56208.178438661707</c:v>
                </c:pt>
              </c:numCache>
            </c:numRef>
          </c:val>
          <c:extLst>
            <c:ext xmlns:c16="http://schemas.microsoft.com/office/drawing/2014/chart" uri="{C3380CC4-5D6E-409C-BE32-E72D297353CC}">
              <c16:uniqueId val="{00000000-84DD-48D8-88C4-B20F89F7C591}"/>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[$$-409]#,##0</c:formatCode>
                <c:ptCount val="2"/>
                <c:pt idx="0">
                  <c:v>55774.058577405856</c:v>
                </c:pt>
                <c:pt idx="1">
                  <c:v>60123.966942148763</c:v>
                </c:pt>
              </c:numCache>
            </c:numRef>
          </c:val>
          <c:extLst>
            <c:ext xmlns:c16="http://schemas.microsoft.com/office/drawing/2014/chart" uri="{C3380CC4-5D6E-409C-BE32-E72D297353CC}">
              <c16:uniqueId val="{00000004-84DD-48D8-88C4-B20F89F7C591}"/>
            </c:ext>
          </c:extLst>
        </c:ser>
        <c:dLbls>
          <c:showLegendKey val="0"/>
          <c:showVal val="0"/>
          <c:showCatName val="0"/>
          <c:showSerName val="0"/>
          <c:showPercent val="0"/>
          <c:showBubbleSize val="0"/>
        </c:dLbls>
        <c:gapWidth val="219"/>
        <c:overlap val="-27"/>
        <c:axId val="3356320"/>
        <c:axId val="3356800"/>
      </c:barChart>
      <c:catAx>
        <c:axId val="335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800"/>
        <c:crosses val="autoZero"/>
        <c:auto val="1"/>
        <c:lblAlgn val="ctr"/>
        <c:lblOffset val="100"/>
        <c:noMultiLvlLbl val="0"/>
      </c:catAx>
      <c:valAx>
        <c:axId val="33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533400</xdr:colOff>
      <xdr:row>3</xdr:row>
      <xdr:rowOff>42862</xdr:rowOff>
    </xdr:from>
    <xdr:to>
      <xdr:col>12</xdr:col>
      <xdr:colOff>247650</xdr:colOff>
      <xdr:row>19</xdr:row>
      <xdr:rowOff>152400</xdr:rowOff>
    </xdr:to>
    <xdr:graphicFrame macro="">
      <xdr:nvGraphicFramePr>
        <xdr:cNvPr id="2" name="Chart 1">
          <a:extLst>
            <a:ext uri="{FF2B5EF4-FFF2-40B4-BE49-F238E27FC236}">
              <a16:creationId xmlns:a16="http://schemas.microsoft.com/office/drawing/2014/main" id="{2D3BD6EF-AF12-1C03-7D61-E8A3BFFA8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247649</xdr:colOff>
      <xdr:row>22</xdr:row>
      <xdr:rowOff>100011</xdr:rowOff>
    </xdr:from>
    <xdr:to>
      <xdr:col>12</xdr:col>
      <xdr:colOff>104774</xdr:colOff>
      <xdr:row>38</xdr:row>
      <xdr:rowOff>76199</xdr:rowOff>
    </xdr:to>
    <xdr:graphicFrame macro="">
      <xdr:nvGraphicFramePr>
        <xdr:cNvPr id="3" name="Chart 2">
          <a:extLst>
            <a:ext uri="{FF2B5EF4-FFF2-40B4-BE49-F238E27FC236}">
              <a16:creationId xmlns:a16="http://schemas.microsoft.com/office/drawing/2014/main" id="{9E9F758A-3F69-C8B7-5648-73154425D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228599</xdr:colOff>
      <xdr:row>41</xdr:row>
      <xdr:rowOff>128586</xdr:rowOff>
    </xdr:from>
    <xdr:to>
      <xdr:col>12</xdr:col>
      <xdr:colOff>314324</xdr:colOff>
      <xdr:row>58</xdr:row>
      <xdr:rowOff>161924</xdr:rowOff>
    </xdr:to>
    <xdr:graphicFrame macro="">
      <xdr:nvGraphicFramePr>
        <xdr:cNvPr id="4" name="Chart 3">
          <a:extLst>
            <a:ext uri="{FF2B5EF4-FFF2-40B4-BE49-F238E27FC236}">
              <a16:creationId xmlns:a16="http://schemas.microsoft.com/office/drawing/2014/main" id="{EA781A06-082D-48C7-EF8F-E712D1EEB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171450</xdr:colOff>
      <xdr:row>64</xdr:row>
      <xdr:rowOff>71437</xdr:rowOff>
    </xdr:from>
    <xdr:to>
      <xdr:col>12</xdr:col>
      <xdr:colOff>533400</xdr:colOff>
      <xdr:row>84</xdr:row>
      <xdr:rowOff>85725</xdr:rowOff>
    </xdr:to>
    <xdr:graphicFrame macro="">
      <xdr:nvGraphicFramePr>
        <xdr:cNvPr id="5" name="Chart 4">
          <a:extLst>
            <a:ext uri="{FF2B5EF4-FFF2-40B4-BE49-F238E27FC236}">
              <a16:creationId xmlns:a16="http://schemas.microsoft.com/office/drawing/2014/main" id="{ADB62052-75A2-9569-A24E-DE5A4B978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157659</xdr:rowOff>
    </xdr:from>
    <xdr:to>
      <xdr:col>13</xdr:col>
      <xdr:colOff>48106</xdr:colOff>
      <xdr:row>35</xdr:row>
      <xdr:rowOff>105834</xdr:rowOff>
    </xdr:to>
    <xdr:graphicFrame macro="">
      <xdr:nvGraphicFramePr>
        <xdr:cNvPr id="3" name="Chart 2">
          <a:extLst>
            <a:ext uri="{FF2B5EF4-FFF2-40B4-BE49-F238E27FC236}">
              <a16:creationId xmlns:a16="http://schemas.microsoft.com/office/drawing/2014/main" id="{A9423550-A681-4202-AB73-CEA551AA5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451816</xdr:colOff>
      <xdr:row>7</xdr:row>
      <xdr:rowOff>10104</xdr:rowOff>
    </xdr:from>
    <xdr:to>
      <xdr:col>13</xdr:col>
      <xdr:colOff>48105</xdr:colOff>
      <xdr:row>20</xdr:row>
      <xdr:rowOff>125076</xdr:rowOff>
    </xdr:to>
    <xdr:graphicFrame macro="">
      <xdr:nvGraphicFramePr>
        <xdr:cNvPr id="4" name="Chart 3">
          <a:extLst>
            <a:ext uri="{FF2B5EF4-FFF2-40B4-BE49-F238E27FC236}">
              <a16:creationId xmlns:a16="http://schemas.microsoft.com/office/drawing/2014/main" id="{C9998F1D-EE14-4C07-B80B-D7701EB2B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19724</xdr:rowOff>
    </xdr:from>
    <xdr:to>
      <xdr:col>6</xdr:col>
      <xdr:colOff>488758</xdr:colOff>
      <xdr:row>20</xdr:row>
      <xdr:rowOff>121612</xdr:rowOff>
    </xdr:to>
    <xdr:graphicFrame macro="">
      <xdr:nvGraphicFramePr>
        <xdr:cNvPr id="5" name="Chart 4">
          <a:extLst>
            <a:ext uri="{FF2B5EF4-FFF2-40B4-BE49-F238E27FC236}">
              <a16:creationId xmlns:a16="http://schemas.microsoft.com/office/drawing/2014/main" id="{C3CCA768-DE14-4BDC-B00E-64E89958F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105834</xdr:colOff>
      <xdr:row>7</xdr:row>
      <xdr:rowOff>20782</xdr:rowOff>
    </xdr:from>
    <xdr:to>
      <xdr:col>16</xdr:col>
      <xdr:colOff>577273</xdr:colOff>
      <xdr:row>14</xdr:row>
      <xdr:rowOff>9622</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DA6F134A-4AB3-B52D-FA41-9083A05597A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7985607" y="1367752"/>
              <a:ext cx="2289848" cy="1335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122091</xdr:colOff>
      <xdr:row>14</xdr:row>
      <xdr:rowOff>71293</xdr:rowOff>
    </xdr:from>
    <xdr:to>
      <xdr:col>16</xdr:col>
      <xdr:colOff>577271</xdr:colOff>
      <xdr:row>23</xdr:row>
      <xdr:rowOff>115453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2198571-7C4C-5A34-C9C6-FBA7E90F6B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001864" y="2765232"/>
              <a:ext cx="2273589" cy="1775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107662</xdr:colOff>
      <xdr:row>24</xdr:row>
      <xdr:rowOff>0</xdr:rowOff>
    </xdr:from>
    <xdr:to>
      <xdr:col>16</xdr:col>
      <xdr:colOff>519545</xdr:colOff>
      <xdr:row>35</xdr:row>
      <xdr:rowOff>9621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4246D3B-80F4-89B4-AF9F-ADF9B4B1B1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87435" y="4618182"/>
              <a:ext cx="2230292" cy="2126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pha" refreshedDate="46198.632089467596" createdVersion="8" refreshedVersion="8" minRefreshableVersion="3" recordCount="1000" xr:uid="{9BBBBD00-6004-4260-8B73-A67F65B706C6}">
  <cacheSource type="worksheet">
    <worksheetSource ref="A1:N1001" sheet="workig_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4">
        <s v="Europe"/>
        <s v="Pacific"/>
        <s v=" "/>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76537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2"/>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3"/>
    <x v="30"/>
    <x v="0"/>
    <x v="0"/>
  </r>
  <r>
    <n v="25065"/>
    <x v="0"/>
    <x v="1"/>
    <n v="70000"/>
    <n v="2"/>
    <x v="3"/>
    <s v="Skilled Manual"/>
    <s v="Yes"/>
    <n v="2"/>
    <x v="2"/>
    <x v="3"/>
    <x v="28"/>
    <x v="0"/>
    <x v="0"/>
  </r>
  <r>
    <n v="26238"/>
    <x v="1"/>
    <x v="0"/>
    <n v="40000"/>
    <n v="3"/>
    <x v="1"/>
    <s v="Clerical"/>
    <s v="Yes"/>
    <n v="1"/>
    <x v="3"/>
    <x v="3"/>
    <x v="23"/>
    <x v="0"/>
    <x v="1"/>
  </r>
  <r>
    <n v="23707"/>
    <x v="1"/>
    <x v="1"/>
    <n v="70000"/>
    <n v="5"/>
    <x v="0"/>
    <s v="Management"/>
    <s v="Yes"/>
    <n v="3"/>
    <x v="4"/>
    <x v="3"/>
    <x v="2"/>
    <x v="1"/>
    <x v="1"/>
  </r>
  <r>
    <n v="27650"/>
    <x v="0"/>
    <x v="1"/>
    <n v="70000"/>
    <n v="4"/>
    <x v="2"/>
    <s v="Professional"/>
    <s v="Yes"/>
    <n v="0"/>
    <x v="2"/>
    <x v="3"/>
    <x v="36"/>
    <x v="0"/>
    <x v="0"/>
  </r>
  <r>
    <n v="24981"/>
    <x v="0"/>
    <x v="1"/>
    <n v="60000"/>
    <n v="2"/>
    <x v="1"/>
    <s v="Professional"/>
    <s v="Yes"/>
    <n v="2"/>
    <x v="4"/>
    <x v="3"/>
    <x v="16"/>
    <x v="1"/>
    <x v="0"/>
  </r>
  <r>
    <n v="20678"/>
    <x v="1"/>
    <x v="0"/>
    <n v="60000"/>
    <n v="3"/>
    <x v="0"/>
    <s v="Skilled Manual"/>
    <s v="Yes"/>
    <n v="1"/>
    <x v="1"/>
    <x v="3"/>
    <x v="8"/>
    <x v="0"/>
    <x v="1"/>
  </r>
  <r>
    <n v="15302"/>
    <x v="1"/>
    <x v="0"/>
    <n v="70000"/>
    <n v="1"/>
    <x v="4"/>
    <s v="Professional"/>
    <s v="Yes"/>
    <n v="0"/>
    <x v="1"/>
    <x v="3"/>
    <x v="17"/>
    <x v="0"/>
    <x v="1"/>
  </r>
  <r>
    <n v="26012"/>
    <x v="0"/>
    <x v="1"/>
    <n v="80000"/>
    <n v="1"/>
    <x v="1"/>
    <s v="Skilled Manual"/>
    <s v="Yes"/>
    <n v="1"/>
    <x v="1"/>
    <x v="3"/>
    <x v="28"/>
    <x v="0"/>
    <x v="1"/>
  </r>
  <r>
    <n v="26575"/>
    <x v="1"/>
    <x v="0"/>
    <n v="40000"/>
    <n v="0"/>
    <x v="2"/>
    <s v="Skilled Manual"/>
    <s v="No"/>
    <n v="2"/>
    <x v="3"/>
    <x v="3"/>
    <x v="23"/>
    <x v="0"/>
    <x v="1"/>
  </r>
  <r>
    <n v="15559"/>
    <x v="0"/>
    <x v="1"/>
    <n v="60000"/>
    <n v="5"/>
    <x v="0"/>
    <s v="Professional"/>
    <s v="Yes"/>
    <n v="1"/>
    <x v="1"/>
    <x v="3"/>
    <x v="15"/>
    <x v="0"/>
    <x v="0"/>
  </r>
  <r>
    <n v="19235"/>
    <x v="0"/>
    <x v="0"/>
    <n v="50000"/>
    <n v="0"/>
    <x v="4"/>
    <s v="Skilled Manual"/>
    <s v="Yes"/>
    <n v="0"/>
    <x v="0"/>
    <x v="3"/>
    <x v="17"/>
    <x v="0"/>
    <x v="0"/>
  </r>
  <r>
    <n v="15275"/>
    <x v="0"/>
    <x v="1"/>
    <n v="40000"/>
    <n v="0"/>
    <x v="1"/>
    <s v="Skilled Manual"/>
    <s v="Yes"/>
    <n v="1"/>
    <x v="2"/>
    <x v="3"/>
    <x v="19"/>
    <x v="2"/>
    <x v="0"/>
  </r>
  <r>
    <n v="20339"/>
    <x v="0"/>
    <x v="0"/>
    <n v="130000"/>
    <n v="1"/>
    <x v="0"/>
    <s v="Management"/>
    <s v="Yes"/>
    <n v="4"/>
    <x v="1"/>
    <x v="3"/>
    <x v="20"/>
    <x v="0"/>
    <x v="1"/>
  </r>
  <r>
    <n v="25405"/>
    <x v="0"/>
    <x v="1"/>
    <n v="70000"/>
    <n v="2"/>
    <x v="0"/>
    <s v="Skilled Manual"/>
    <s v="Yes"/>
    <n v="1"/>
    <x v="1"/>
    <x v="3"/>
    <x v="13"/>
    <x v="0"/>
    <x v="1"/>
  </r>
  <r>
    <n v="15940"/>
    <x v="0"/>
    <x v="1"/>
    <n v="100000"/>
    <n v="4"/>
    <x v="1"/>
    <s v="Professional"/>
    <s v="Yes"/>
    <n v="4"/>
    <x v="0"/>
    <x v="3"/>
    <x v="8"/>
    <x v="0"/>
    <x v="0"/>
  </r>
  <r>
    <n v="25074"/>
    <x v="0"/>
    <x v="0"/>
    <n v="70000"/>
    <n v="4"/>
    <x v="0"/>
    <s v="Professional"/>
    <s v="Yes"/>
    <n v="2"/>
    <x v="1"/>
    <x v="3"/>
    <x v="0"/>
    <x v="0"/>
    <x v="1"/>
  </r>
  <r>
    <n v="24738"/>
    <x v="0"/>
    <x v="0"/>
    <n v="40000"/>
    <n v="1"/>
    <x v="1"/>
    <s v="Clerical"/>
    <s v="Yes"/>
    <n v="1"/>
    <x v="3"/>
    <x v="3"/>
    <x v="36"/>
    <x v="0"/>
    <x v="1"/>
  </r>
  <r>
    <n v="16337"/>
    <x v="0"/>
    <x v="1"/>
    <n v="60000"/>
    <n v="0"/>
    <x v="1"/>
    <s v="Skilled Manual"/>
    <s v="No"/>
    <n v="2"/>
    <x v="3"/>
    <x v="3"/>
    <x v="19"/>
    <x v="2"/>
    <x v="0"/>
  </r>
  <r>
    <n v="24357"/>
    <x v="0"/>
    <x v="1"/>
    <n v="80000"/>
    <n v="3"/>
    <x v="0"/>
    <s v="Professional"/>
    <s v="Yes"/>
    <n v="1"/>
    <x v="1"/>
    <x v="3"/>
    <x v="28"/>
    <x v="0"/>
    <x v="1"/>
  </r>
  <r>
    <n v="18613"/>
    <x v="1"/>
    <x v="1"/>
    <n v="70000"/>
    <n v="0"/>
    <x v="0"/>
    <s v="Professional"/>
    <s v="No"/>
    <n v="1"/>
    <x v="1"/>
    <x v="3"/>
    <x v="34"/>
    <x v="0"/>
    <x v="1"/>
  </r>
  <r>
    <n v="12207"/>
    <x v="1"/>
    <x v="1"/>
    <n v="80000"/>
    <n v="4"/>
    <x v="0"/>
    <s v="Management"/>
    <s v="Yes"/>
    <n v="0"/>
    <x v="2"/>
    <x v="3"/>
    <x v="29"/>
    <x v="1"/>
    <x v="1"/>
  </r>
  <r>
    <n v="18052"/>
    <x v="0"/>
    <x v="0"/>
    <n v="60000"/>
    <n v="1"/>
    <x v="1"/>
    <s v="Skilled Manual"/>
    <s v="Yes"/>
    <n v="1"/>
    <x v="0"/>
    <x v="3"/>
    <x v="12"/>
    <x v="0"/>
    <x v="1"/>
  </r>
  <r>
    <n v="13353"/>
    <x v="1"/>
    <x v="0"/>
    <n v="60000"/>
    <n v="4"/>
    <x v="4"/>
    <s v="Management"/>
    <s v="Yes"/>
    <n v="2"/>
    <x v="4"/>
    <x v="3"/>
    <x v="33"/>
    <x v="1"/>
    <x v="1"/>
  </r>
  <r>
    <n v="19399"/>
    <x v="1"/>
    <x v="1"/>
    <n v="40000"/>
    <n v="0"/>
    <x v="0"/>
    <s v="Professional"/>
    <s v="No"/>
    <n v="1"/>
    <x v="1"/>
    <x v="3"/>
    <x v="12"/>
    <x v="0"/>
    <x v="0"/>
  </r>
  <r>
    <n v="16154"/>
    <x v="0"/>
    <x v="0"/>
    <n v="70000"/>
    <n v="5"/>
    <x v="0"/>
    <s v="Professional"/>
    <s v="Yes"/>
    <n v="2"/>
    <x v="1"/>
    <x v="3"/>
    <x v="15"/>
    <x v="0"/>
    <x v="0"/>
  </r>
  <r>
    <n v="22219"/>
    <x v="0"/>
    <x v="0"/>
    <n v="60000"/>
    <n v="2"/>
    <x v="2"/>
    <s v="Professional"/>
    <s v="Yes"/>
    <n v="2"/>
    <x v="2"/>
    <x v="3"/>
    <x v="38"/>
    <x v="0"/>
    <x v="0"/>
  </r>
  <r>
    <n v="17269"/>
    <x v="1"/>
    <x v="1"/>
    <n v="60000"/>
    <n v="3"/>
    <x v="0"/>
    <s v="Professional"/>
    <s v="No"/>
    <n v="0"/>
    <x v="0"/>
    <x v="3"/>
    <x v="15"/>
    <x v="0"/>
    <x v="1"/>
  </r>
  <r>
    <n v="23586"/>
    <x v="0"/>
    <x v="0"/>
    <n v="80000"/>
    <n v="0"/>
    <x v="0"/>
    <s v="Management"/>
    <s v="Yes"/>
    <n v="1"/>
    <x v="3"/>
    <x v="3"/>
    <x v="17"/>
    <x v="0"/>
    <x v="1"/>
  </r>
  <r>
    <n v="15740"/>
    <x v="0"/>
    <x v="1"/>
    <n v="80000"/>
    <n v="5"/>
    <x v="0"/>
    <s v="Management"/>
    <s v="Yes"/>
    <n v="2"/>
    <x v="3"/>
    <x v="3"/>
    <x v="46"/>
    <x v="1"/>
    <x v="0"/>
  </r>
  <r>
    <n v="27638"/>
    <x v="1"/>
    <x v="1"/>
    <n v="100000"/>
    <n v="1"/>
    <x v="1"/>
    <s v="Professional"/>
    <s v="No"/>
    <n v="3"/>
    <x v="3"/>
    <x v="3"/>
    <x v="20"/>
    <x v="0"/>
    <x v="0"/>
  </r>
  <r>
    <n v="18976"/>
    <x v="1"/>
    <x v="1"/>
    <n v="40000"/>
    <n v="4"/>
    <x v="2"/>
    <s v="Professional"/>
    <s v="Yes"/>
    <n v="2"/>
    <x v="4"/>
    <x v="3"/>
    <x v="24"/>
    <x v="1"/>
    <x v="1"/>
  </r>
  <r>
    <n v="19413"/>
    <x v="1"/>
    <x v="1"/>
    <n v="60000"/>
    <n v="3"/>
    <x v="0"/>
    <s v="Professional"/>
    <s v="No"/>
    <n v="1"/>
    <x v="0"/>
    <x v="3"/>
    <x v="15"/>
    <x v="0"/>
    <x v="1"/>
  </r>
  <r>
    <n v="13283"/>
    <x v="0"/>
    <x v="1"/>
    <n v="80000"/>
    <n v="3"/>
    <x v="1"/>
    <s v="Professional"/>
    <s v="No"/>
    <n v="2"/>
    <x v="0"/>
    <x v="3"/>
    <x v="38"/>
    <x v="0"/>
    <x v="1"/>
  </r>
  <r>
    <n v="17471"/>
    <x v="1"/>
    <x v="0"/>
    <n v="80000"/>
    <n v="4"/>
    <x v="4"/>
    <s v="Management"/>
    <s v="Yes"/>
    <n v="2"/>
    <x v="2"/>
    <x v="3"/>
    <x v="41"/>
    <x v="1"/>
    <x v="0"/>
  </r>
  <r>
    <n v="16791"/>
    <x v="1"/>
    <x v="1"/>
    <n v="60000"/>
    <n v="5"/>
    <x v="0"/>
    <s v="Management"/>
    <s v="Yes"/>
    <n v="3"/>
    <x v="4"/>
    <x v="3"/>
    <x v="14"/>
    <x v="1"/>
    <x v="1"/>
  </r>
  <r>
    <n v="15382"/>
    <x v="0"/>
    <x v="0"/>
    <n v="110000"/>
    <n v="1"/>
    <x v="0"/>
    <s v="Management"/>
    <s v="Yes"/>
    <n v="2"/>
    <x v="3"/>
    <x v="3"/>
    <x v="20"/>
    <x v="0"/>
    <x v="0"/>
  </r>
  <r>
    <n v="11641"/>
    <x v="0"/>
    <x v="1"/>
    <n v="50000"/>
    <n v="1"/>
    <x v="0"/>
    <s v="Skilled Manual"/>
    <s v="Yes"/>
    <n v="0"/>
    <x v="0"/>
    <x v="3"/>
    <x v="4"/>
    <x v="0"/>
    <x v="0"/>
  </r>
  <r>
    <n v="11935"/>
    <x v="1"/>
    <x v="0"/>
    <n v="30000"/>
    <n v="0"/>
    <x v="1"/>
    <s v="Skilled Manual"/>
    <s v="Yes"/>
    <n v="1"/>
    <x v="2"/>
    <x v="3"/>
    <x v="26"/>
    <x v="2"/>
    <x v="0"/>
  </r>
  <r>
    <n v="13233"/>
    <x v="0"/>
    <x v="1"/>
    <n v="60000"/>
    <n v="2"/>
    <x v="1"/>
    <s v="Professional"/>
    <s v="Yes"/>
    <n v="1"/>
    <x v="4"/>
    <x v="3"/>
    <x v="42"/>
    <x v="1"/>
    <x v="1"/>
  </r>
  <r>
    <n v="25909"/>
    <x v="0"/>
    <x v="1"/>
    <n v="60000"/>
    <n v="0"/>
    <x v="1"/>
    <s v="Skilled Manual"/>
    <s v="Yes"/>
    <n v="1"/>
    <x v="2"/>
    <x v="3"/>
    <x v="40"/>
    <x v="2"/>
    <x v="1"/>
  </r>
  <r>
    <n v="14092"/>
    <x v="1"/>
    <x v="1"/>
    <n v="30000"/>
    <n v="0"/>
    <x v="3"/>
    <s v="Clerical"/>
    <s v="Yes"/>
    <n v="2"/>
    <x v="2"/>
    <x v="3"/>
    <x v="26"/>
    <x v="2"/>
    <x v="0"/>
  </r>
  <r>
    <n v="29143"/>
    <x v="1"/>
    <x v="0"/>
    <n v="60000"/>
    <n v="1"/>
    <x v="0"/>
    <s v="Professional"/>
    <s v="No"/>
    <n v="1"/>
    <x v="0"/>
    <x v="3"/>
    <x v="20"/>
    <x v="0"/>
    <x v="1"/>
  </r>
  <r>
    <n v="24941"/>
    <x v="0"/>
    <x v="1"/>
    <n v="60000"/>
    <n v="3"/>
    <x v="0"/>
    <s v="Management"/>
    <s v="Yes"/>
    <n v="2"/>
    <x v="4"/>
    <x v="3"/>
    <x v="29"/>
    <x v="1"/>
    <x v="0"/>
  </r>
  <r>
    <n v="24637"/>
    <x v="0"/>
    <x v="1"/>
    <n v="40000"/>
    <n v="4"/>
    <x v="2"/>
    <s v="Professional"/>
    <s v="Yes"/>
    <n v="2"/>
    <x v="4"/>
    <x v="3"/>
    <x v="46"/>
    <x v="1"/>
    <x v="0"/>
  </r>
  <r>
    <n v="23893"/>
    <x v="0"/>
    <x v="1"/>
    <n v="50000"/>
    <n v="3"/>
    <x v="0"/>
    <s v="Skilled Manual"/>
    <s v="Yes"/>
    <n v="3"/>
    <x v="4"/>
    <x v="3"/>
    <x v="3"/>
    <x v="0"/>
    <x v="0"/>
  </r>
  <r>
    <n v="13907"/>
    <x v="1"/>
    <x v="0"/>
    <n v="80000"/>
    <n v="3"/>
    <x v="0"/>
    <s v="Skilled Manual"/>
    <s v="Yes"/>
    <n v="1"/>
    <x v="0"/>
    <x v="3"/>
    <x v="3"/>
    <x v="0"/>
    <x v="1"/>
  </r>
  <r>
    <n v="14900"/>
    <x v="0"/>
    <x v="0"/>
    <n v="40000"/>
    <n v="1"/>
    <x v="1"/>
    <s v="Clerical"/>
    <s v="Yes"/>
    <n v="1"/>
    <x v="3"/>
    <x v="3"/>
    <x v="38"/>
    <x v="0"/>
    <x v="1"/>
  </r>
  <r>
    <n v="11262"/>
    <x v="0"/>
    <x v="0"/>
    <n v="80000"/>
    <n v="4"/>
    <x v="0"/>
    <s v="Management"/>
    <s v="Yes"/>
    <n v="0"/>
    <x v="0"/>
    <x v="3"/>
    <x v="0"/>
    <x v="0"/>
    <x v="0"/>
  </r>
  <r>
    <n v="22294"/>
    <x v="1"/>
    <x v="0"/>
    <n v="70000"/>
    <n v="0"/>
    <x v="0"/>
    <s v="Professional"/>
    <s v="No"/>
    <n v="1"/>
    <x v="1"/>
    <x v="3"/>
    <x v="34"/>
    <x v="0"/>
    <x v="1"/>
  </r>
  <r>
    <n v="12195"/>
    <x v="1"/>
    <x v="0"/>
    <n v="70000"/>
    <n v="3"/>
    <x v="4"/>
    <s v="Management"/>
    <s v="Yes"/>
    <n v="2"/>
    <x v="3"/>
    <x v="3"/>
    <x v="31"/>
    <x v="0"/>
    <x v="0"/>
  </r>
  <r>
    <n v="25375"/>
    <x v="0"/>
    <x v="1"/>
    <n v="50000"/>
    <n v="1"/>
    <x v="4"/>
    <s v="Skilled Manual"/>
    <s v="Yes"/>
    <n v="0"/>
    <x v="3"/>
    <x v="3"/>
    <x v="17"/>
    <x v="0"/>
    <x v="0"/>
  </r>
  <r>
    <n v="11143"/>
    <x v="0"/>
    <x v="1"/>
    <n v="40000"/>
    <n v="0"/>
    <x v="2"/>
    <s v="Skilled Manual"/>
    <s v="Yes"/>
    <n v="2"/>
    <x v="2"/>
    <x v="3"/>
    <x v="19"/>
    <x v="2"/>
    <x v="0"/>
  </r>
  <r>
    <n v="25898"/>
    <x v="0"/>
    <x v="0"/>
    <n v="70000"/>
    <n v="2"/>
    <x v="2"/>
    <s v="Professional"/>
    <s v="Yes"/>
    <n v="2"/>
    <x v="1"/>
    <x v="3"/>
    <x v="39"/>
    <x v="0"/>
    <x v="0"/>
  </r>
  <r>
    <n v="24397"/>
    <x v="1"/>
    <x v="1"/>
    <n v="120000"/>
    <n v="2"/>
    <x v="0"/>
    <s v="Management"/>
    <s v="No"/>
    <n v="4"/>
    <x v="3"/>
    <x v="3"/>
    <x v="8"/>
    <x v="0"/>
    <x v="0"/>
  </r>
  <r>
    <n v="19758"/>
    <x v="1"/>
    <x v="1"/>
    <n v="60000"/>
    <n v="0"/>
    <x v="1"/>
    <s v="Skilled Manual"/>
    <s v="No"/>
    <n v="2"/>
    <x v="3"/>
    <x v="3"/>
    <x v="19"/>
    <x v="2"/>
    <x v="0"/>
  </r>
  <r>
    <n v="15529"/>
    <x v="0"/>
    <x v="1"/>
    <n v="60000"/>
    <n v="4"/>
    <x v="0"/>
    <s v="Professional"/>
    <s v="Yes"/>
    <n v="2"/>
    <x v="1"/>
    <x v="3"/>
    <x v="1"/>
    <x v="0"/>
    <x v="1"/>
  </r>
  <r>
    <n v="19884"/>
    <x v="0"/>
    <x v="1"/>
    <n v="60000"/>
    <n v="2"/>
    <x v="2"/>
    <s v="Professional"/>
    <s v="Yes"/>
    <n v="2"/>
    <x v="1"/>
    <x v="3"/>
    <x v="10"/>
    <x v="1"/>
    <x v="1"/>
  </r>
  <r>
    <n v="18674"/>
    <x v="1"/>
    <x v="0"/>
    <n v="80000"/>
    <n v="4"/>
    <x v="4"/>
    <s v="Skilled Manual"/>
    <s v="No"/>
    <n v="0"/>
    <x v="0"/>
    <x v="3"/>
    <x v="28"/>
    <x v="0"/>
    <x v="0"/>
  </r>
  <r>
    <n v="13453"/>
    <x v="0"/>
    <x v="0"/>
    <n v="130000"/>
    <n v="3"/>
    <x v="0"/>
    <s v="Management"/>
    <s v="Yes"/>
    <n v="3"/>
    <x v="0"/>
    <x v="3"/>
    <x v="12"/>
    <x v="0"/>
    <x v="1"/>
  </r>
  <r>
    <n v="14063"/>
    <x v="1"/>
    <x v="0"/>
    <n v="70000"/>
    <n v="0"/>
    <x v="0"/>
    <s v="Professional"/>
    <s v="No"/>
    <n v="1"/>
    <x v="0"/>
    <x v="1"/>
    <x v="0"/>
    <x v="0"/>
    <x v="1"/>
  </r>
  <r>
    <n v="27393"/>
    <x v="0"/>
    <x v="0"/>
    <n v="50000"/>
    <n v="4"/>
    <x v="0"/>
    <s v="Management"/>
    <s v="Yes"/>
    <n v="2"/>
    <x v="4"/>
    <x v="3"/>
    <x v="18"/>
    <x v="1"/>
    <x v="0"/>
  </r>
  <r>
    <n v="14417"/>
    <x v="1"/>
    <x v="1"/>
    <n v="60000"/>
    <n v="3"/>
    <x v="2"/>
    <s v="Professional"/>
    <s v="Yes"/>
    <n v="2"/>
    <x v="4"/>
    <x v="3"/>
    <x v="9"/>
    <x v="0"/>
    <x v="1"/>
  </r>
  <r>
    <n v="17533"/>
    <x v="0"/>
    <x v="1"/>
    <n v="40000"/>
    <n v="3"/>
    <x v="1"/>
    <s v="Professional"/>
    <s v="No"/>
    <n v="2"/>
    <x v="2"/>
    <x v="3"/>
    <x v="49"/>
    <x v="1"/>
    <x v="1"/>
  </r>
  <r>
    <n v="18580"/>
    <x v="0"/>
    <x v="0"/>
    <n v="60000"/>
    <n v="2"/>
    <x v="4"/>
    <s v="Professional"/>
    <s v="Yes"/>
    <n v="0"/>
    <x v="1"/>
    <x v="3"/>
    <x v="8"/>
    <x v="0"/>
    <x v="1"/>
  </r>
  <r>
    <n v="17025"/>
    <x v="1"/>
    <x v="1"/>
    <n v="50000"/>
    <n v="0"/>
    <x v="1"/>
    <s v="Skilled Manual"/>
    <s v="No"/>
    <n v="1"/>
    <x v="1"/>
    <x v="3"/>
    <x v="32"/>
    <x v="0"/>
    <x v="1"/>
  </r>
  <r>
    <n v="25293"/>
    <x v="0"/>
    <x v="1"/>
    <n v="80000"/>
    <n v="4"/>
    <x v="0"/>
    <s v="Management"/>
    <s v="Yes"/>
    <n v="0"/>
    <x v="3"/>
    <x v="3"/>
    <x v="0"/>
    <x v="0"/>
    <x v="0"/>
  </r>
  <r>
    <n v="24725"/>
    <x v="0"/>
    <x v="0"/>
    <n v="40000"/>
    <n v="3"/>
    <x v="1"/>
    <s v="Clerical"/>
    <s v="Yes"/>
    <n v="0"/>
    <x v="3"/>
    <x v="3"/>
    <x v="23"/>
    <x v="0"/>
    <x v="0"/>
  </r>
  <r>
    <n v="23200"/>
    <x v="0"/>
    <x v="0"/>
    <n v="50000"/>
    <n v="3"/>
    <x v="0"/>
    <s v="Skilled Manual"/>
    <s v="Yes"/>
    <n v="2"/>
    <x v="0"/>
    <x v="3"/>
    <x v="3"/>
    <x v="0"/>
    <x v="0"/>
  </r>
  <r>
    <n v="15895"/>
    <x v="1"/>
    <x v="0"/>
    <n v="60000"/>
    <n v="2"/>
    <x v="0"/>
    <s v="Management"/>
    <s v="Yes"/>
    <n v="0"/>
    <x v="4"/>
    <x v="3"/>
    <x v="7"/>
    <x v="1"/>
    <x v="0"/>
  </r>
  <r>
    <n v="18577"/>
    <x v="0"/>
    <x v="0"/>
    <n v="60000"/>
    <n v="0"/>
    <x v="4"/>
    <s v="Professional"/>
    <s v="Yes"/>
    <n v="0"/>
    <x v="0"/>
    <x v="3"/>
    <x v="8"/>
    <x v="0"/>
    <x v="0"/>
  </r>
  <r>
    <n v="27218"/>
    <x v="0"/>
    <x v="0"/>
    <n v="20000"/>
    <n v="2"/>
    <x v="3"/>
    <s v="Clerical"/>
    <s v="No"/>
    <n v="0"/>
    <x v="0"/>
    <x v="3"/>
    <x v="28"/>
    <x v="0"/>
    <x v="0"/>
  </r>
  <r>
    <n v="18560"/>
    <x v="0"/>
    <x v="0"/>
    <n v="70000"/>
    <n v="2"/>
    <x v="4"/>
    <s v="Professional"/>
    <s v="Yes"/>
    <n v="0"/>
    <x v="1"/>
    <x v="3"/>
    <x v="17"/>
    <x v="0"/>
    <x v="1"/>
  </r>
  <r>
    <n v="25006"/>
    <x v="1"/>
    <x v="0"/>
    <n v="30000"/>
    <n v="0"/>
    <x v="1"/>
    <s v="Skilled Manual"/>
    <s v="Yes"/>
    <n v="1"/>
    <x v="2"/>
    <x v="3"/>
    <x v="26"/>
    <x v="2"/>
    <x v="0"/>
  </r>
  <r>
    <n v="17369"/>
    <x v="1"/>
    <x v="1"/>
    <n v="30000"/>
    <n v="0"/>
    <x v="1"/>
    <s v="Skilled Manual"/>
    <s v="Yes"/>
    <n v="1"/>
    <x v="2"/>
    <x v="3"/>
    <x v="40"/>
    <x v="2"/>
    <x v="0"/>
  </r>
  <r>
    <n v="14495"/>
    <x v="0"/>
    <x v="1"/>
    <n v="40000"/>
    <n v="3"/>
    <x v="1"/>
    <s v="Professional"/>
    <s v="No"/>
    <n v="2"/>
    <x v="2"/>
    <x v="3"/>
    <x v="9"/>
    <x v="0"/>
    <x v="1"/>
  </r>
  <r>
    <n v="18847"/>
    <x v="0"/>
    <x v="0"/>
    <n v="60000"/>
    <n v="2"/>
    <x v="4"/>
    <s v="Management"/>
    <s v="Yes"/>
    <n v="2"/>
    <x v="2"/>
    <x v="3"/>
    <x v="43"/>
    <x v="1"/>
    <x v="0"/>
  </r>
  <r>
    <n v="14754"/>
    <x v="0"/>
    <x v="1"/>
    <n v="40000"/>
    <n v="1"/>
    <x v="1"/>
    <s v="Clerical"/>
    <s v="Yes"/>
    <n v="1"/>
    <x v="3"/>
    <x v="3"/>
    <x v="28"/>
    <x v="0"/>
    <x v="1"/>
  </r>
  <r>
    <n v="23378"/>
    <x v="0"/>
    <x v="1"/>
    <n v="70000"/>
    <n v="1"/>
    <x v="1"/>
    <s v="Skilled Manual"/>
    <s v="Yes"/>
    <n v="1"/>
    <x v="1"/>
    <x v="3"/>
    <x v="20"/>
    <x v="0"/>
    <x v="1"/>
  </r>
  <r>
    <n v="26452"/>
    <x v="1"/>
    <x v="1"/>
    <n v="50000"/>
    <n v="3"/>
    <x v="4"/>
    <s v="Management"/>
    <s v="Yes"/>
    <n v="2"/>
    <x v="4"/>
    <x v="3"/>
    <x v="45"/>
    <x v="1"/>
    <x v="0"/>
  </r>
  <r>
    <n v="20370"/>
    <x v="0"/>
    <x v="1"/>
    <n v="70000"/>
    <n v="3"/>
    <x v="3"/>
    <s v="Skilled Manual"/>
    <s v="Yes"/>
    <n v="2"/>
    <x v="2"/>
    <x v="3"/>
    <x v="31"/>
    <x v="0"/>
    <x v="0"/>
  </r>
  <r>
    <n v="20528"/>
    <x v="0"/>
    <x v="1"/>
    <n v="40000"/>
    <n v="2"/>
    <x v="3"/>
    <s v="Skilled Manual"/>
    <s v="Yes"/>
    <n v="2"/>
    <x v="1"/>
    <x v="3"/>
    <x v="10"/>
    <x v="1"/>
    <x v="0"/>
  </r>
  <r>
    <n v="23549"/>
    <x v="1"/>
    <x v="1"/>
    <n v="30000"/>
    <n v="0"/>
    <x v="2"/>
    <s v="Skilled Manual"/>
    <s v="Yes"/>
    <n v="2"/>
    <x v="2"/>
    <x v="3"/>
    <x v="25"/>
    <x v="2"/>
    <x v="0"/>
  </r>
  <r>
    <n v="21751"/>
    <x v="0"/>
    <x v="1"/>
    <n v="60000"/>
    <n v="3"/>
    <x v="4"/>
    <s v="Management"/>
    <s v="Yes"/>
    <n v="2"/>
    <x v="3"/>
    <x v="3"/>
    <x v="18"/>
    <x v="1"/>
    <x v="0"/>
  </r>
  <r>
    <n v="21266"/>
    <x v="1"/>
    <x v="0"/>
    <n v="80000"/>
    <n v="0"/>
    <x v="0"/>
    <s v="Management"/>
    <s v="Yes"/>
    <n v="1"/>
    <x v="3"/>
    <x v="3"/>
    <x v="17"/>
    <x v="0"/>
    <x v="1"/>
  </r>
  <r>
    <n v="13388"/>
    <x v="1"/>
    <x v="1"/>
    <n v="60000"/>
    <n v="2"/>
    <x v="1"/>
    <s v="Professional"/>
    <s v="Yes"/>
    <n v="1"/>
    <x v="4"/>
    <x v="3"/>
    <x v="16"/>
    <x v="1"/>
    <x v="0"/>
  </r>
  <r>
    <n v="18752"/>
    <x v="1"/>
    <x v="0"/>
    <n v="40000"/>
    <n v="0"/>
    <x v="2"/>
    <s v="Skilled Manual"/>
    <s v="Yes"/>
    <n v="1"/>
    <x v="2"/>
    <x v="3"/>
    <x v="23"/>
    <x v="0"/>
    <x v="0"/>
  </r>
  <r>
    <n v="16917"/>
    <x v="0"/>
    <x v="1"/>
    <n v="120000"/>
    <n v="1"/>
    <x v="0"/>
    <s v="Management"/>
    <s v="Yes"/>
    <n v="4"/>
    <x v="0"/>
    <x v="3"/>
    <x v="13"/>
    <x v="0"/>
    <x v="0"/>
  </r>
  <r>
    <n v="15313"/>
    <x v="0"/>
    <x v="1"/>
    <n v="60000"/>
    <n v="4"/>
    <x v="0"/>
    <s v="Management"/>
    <s v="Yes"/>
    <n v="2"/>
    <x v="1"/>
    <x v="3"/>
    <x v="14"/>
    <x v="1"/>
    <x v="0"/>
  </r>
  <r>
    <n v="25329"/>
    <x v="1"/>
    <x v="0"/>
    <n v="40000"/>
    <n v="3"/>
    <x v="1"/>
    <s v="Clerical"/>
    <s v="No"/>
    <n v="2"/>
    <x v="0"/>
    <x v="3"/>
    <x v="21"/>
    <x v="0"/>
    <x v="0"/>
  </r>
  <r>
    <n v="20380"/>
    <x v="0"/>
    <x v="0"/>
    <n v="60000"/>
    <n v="3"/>
    <x v="4"/>
    <s v="Management"/>
    <s v="Yes"/>
    <n v="2"/>
    <x v="4"/>
    <x v="3"/>
    <x v="45"/>
    <x v="1"/>
    <x v="0"/>
  </r>
  <r>
    <n v="23089"/>
    <x v="0"/>
    <x v="1"/>
    <n v="40000"/>
    <n v="0"/>
    <x v="1"/>
    <s v="Skilled Manual"/>
    <s v="Yes"/>
    <n v="1"/>
    <x v="2"/>
    <x v="3"/>
    <x v="26"/>
    <x v="2"/>
    <x v="0"/>
  </r>
  <r>
    <n v="13749"/>
    <x v="0"/>
    <x v="1"/>
    <n v="80000"/>
    <n v="4"/>
    <x v="4"/>
    <s v="Skilled Manual"/>
    <s v="Yes"/>
    <n v="0"/>
    <x v="3"/>
    <x v="3"/>
    <x v="15"/>
    <x v="0"/>
    <x v="0"/>
  </r>
  <r>
    <n v="24943"/>
    <x v="0"/>
    <x v="1"/>
    <n v="60000"/>
    <n v="3"/>
    <x v="0"/>
    <s v="Management"/>
    <s v="Yes"/>
    <n v="2"/>
    <x v="4"/>
    <x v="3"/>
    <x v="29"/>
    <x v="1"/>
    <x v="0"/>
  </r>
  <r>
    <n v="28667"/>
    <x v="1"/>
    <x v="1"/>
    <n v="70000"/>
    <n v="2"/>
    <x v="0"/>
    <s v="Skilled Manual"/>
    <s v="No"/>
    <n v="1"/>
    <x v="0"/>
    <x v="3"/>
    <x v="34"/>
    <x v="0"/>
    <x v="1"/>
  </r>
  <r>
    <n v="15194"/>
    <x v="1"/>
    <x v="1"/>
    <n v="120000"/>
    <n v="2"/>
    <x v="0"/>
    <s v="Management"/>
    <s v="No"/>
    <n v="3"/>
    <x v="0"/>
    <x v="3"/>
    <x v="32"/>
    <x v="0"/>
    <x v="1"/>
  </r>
  <r>
    <n v="17436"/>
    <x v="0"/>
    <x v="1"/>
    <n v="60000"/>
    <n v="2"/>
    <x v="2"/>
    <s v="Professional"/>
    <s v="No"/>
    <n v="2"/>
    <x v="3"/>
    <x v="3"/>
    <x v="36"/>
    <x v="0"/>
    <x v="0"/>
  </r>
  <r>
    <n v="18935"/>
    <x v="0"/>
    <x v="0"/>
    <n v="130000"/>
    <n v="0"/>
    <x v="4"/>
    <s v="Management"/>
    <s v="Yes"/>
    <n v="3"/>
    <x v="3"/>
    <x v="3"/>
    <x v="8"/>
    <x v="0"/>
    <x v="0"/>
  </r>
  <r>
    <n v="16871"/>
    <x v="0"/>
    <x v="0"/>
    <n v="90000"/>
    <n v="2"/>
    <x v="2"/>
    <s v="Professional"/>
    <s v="Yes"/>
    <n v="1"/>
    <x v="4"/>
    <x v="3"/>
    <x v="36"/>
    <x v="0"/>
    <x v="1"/>
  </r>
  <r>
    <n v="12100"/>
    <x v="1"/>
    <x v="1"/>
    <n v="60000"/>
    <n v="2"/>
    <x v="0"/>
    <s v="Management"/>
    <s v="Yes"/>
    <n v="0"/>
    <x v="4"/>
    <x v="3"/>
    <x v="42"/>
    <x v="1"/>
    <x v="0"/>
  </r>
  <r>
    <n v="23158"/>
    <x v="0"/>
    <x v="0"/>
    <n v="60000"/>
    <n v="1"/>
    <x v="4"/>
    <s v="Professional"/>
    <s v="No"/>
    <n v="0"/>
    <x v="0"/>
    <x v="3"/>
    <x v="11"/>
    <x v="0"/>
    <x v="1"/>
  </r>
  <r>
    <n v="18545"/>
    <x v="0"/>
    <x v="1"/>
    <n v="40000"/>
    <n v="4"/>
    <x v="2"/>
    <s v="Professional"/>
    <s v="No"/>
    <n v="2"/>
    <x v="4"/>
    <x v="3"/>
    <x v="33"/>
    <x v="1"/>
    <x v="1"/>
  </r>
  <r>
    <n v="18391"/>
    <x v="1"/>
    <x v="0"/>
    <n v="80000"/>
    <n v="5"/>
    <x v="1"/>
    <s v="Professional"/>
    <s v="Yes"/>
    <n v="2"/>
    <x v="2"/>
    <x v="3"/>
    <x v="20"/>
    <x v="0"/>
    <x v="0"/>
  </r>
  <r>
    <n v="19812"/>
    <x v="1"/>
    <x v="0"/>
    <n v="70000"/>
    <n v="2"/>
    <x v="1"/>
    <s v="Professional"/>
    <s v="Yes"/>
    <n v="0"/>
    <x v="2"/>
    <x v="3"/>
    <x v="38"/>
    <x v="0"/>
    <x v="1"/>
  </r>
  <r>
    <n v="27660"/>
    <x v="0"/>
    <x v="1"/>
    <n v="80000"/>
    <n v="4"/>
    <x v="4"/>
    <s v="Management"/>
    <s v="Yes"/>
    <n v="2"/>
    <x v="2"/>
    <x v="3"/>
    <x v="43"/>
    <x v="1"/>
    <x v="0"/>
  </r>
  <r>
    <n v="18058"/>
    <x v="1"/>
    <x v="0"/>
    <n v="20000"/>
    <n v="3"/>
    <x v="2"/>
    <s v="Skilled Manual"/>
    <s v="Yes"/>
    <n v="2"/>
    <x v="1"/>
    <x v="3"/>
    <x v="44"/>
    <x v="1"/>
    <x v="0"/>
  </r>
  <r>
    <n v="20343"/>
    <x v="0"/>
    <x v="0"/>
    <n v="90000"/>
    <n v="4"/>
    <x v="1"/>
    <s v="Professional"/>
    <s v="Yes"/>
    <n v="1"/>
    <x v="3"/>
    <x v="3"/>
    <x v="12"/>
    <x v="0"/>
    <x v="0"/>
  </r>
  <r>
    <n v="28997"/>
    <x v="1"/>
    <x v="1"/>
    <n v="40000"/>
    <n v="2"/>
    <x v="2"/>
    <s v="Professional"/>
    <s v="No"/>
    <n v="1"/>
    <x v="1"/>
    <x v="3"/>
    <x v="7"/>
    <x v="1"/>
    <x v="1"/>
  </r>
  <r>
    <n v="24398"/>
    <x v="0"/>
    <x v="1"/>
    <n v="130000"/>
    <n v="1"/>
    <x v="4"/>
    <s v="Management"/>
    <s v="Yes"/>
    <n v="4"/>
    <x v="0"/>
    <x v="3"/>
    <x v="3"/>
    <x v="0"/>
    <x v="0"/>
  </r>
  <r>
    <n v="19002"/>
    <x v="0"/>
    <x v="0"/>
    <n v="60000"/>
    <n v="2"/>
    <x v="1"/>
    <s v="Professional"/>
    <s v="Yes"/>
    <n v="1"/>
    <x v="1"/>
    <x v="3"/>
    <x v="42"/>
    <x v="1"/>
    <x v="1"/>
  </r>
  <r>
    <n v="28609"/>
    <x v="0"/>
    <x v="1"/>
    <n v="30000"/>
    <n v="2"/>
    <x v="2"/>
    <s v="Skilled Manual"/>
    <s v="No"/>
    <n v="2"/>
    <x v="0"/>
    <x v="3"/>
    <x v="38"/>
    <x v="0"/>
    <x v="0"/>
  </r>
  <r>
    <n v="29231"/>
    <x v="1"/>
    <x v="1"/>
    <n v="80000"/>
    <n v="4"/>
    <x v="1"/>
    <s v="Professional"/>
    <s v="No"/>
    <n v="2"/>
    <x v="0"/>
    <x v="3"/>
    <x v="1"/>
    <x v="0"/>
    <x v="0"/>
  </r>
  <r>
    <n v="18858"/>
    <x v="1"/>
    <x v="1"/>
    <n v="60000"/>
    <n v="2"/>
    <x v="3"/>
    <s v="Skilled Manual"/>
    <s v="Yes"/>
    <n v="2"/>
    <x v="2"/>
    <x v="3"/>
    <x v="31"/>
    <x v="0"/>
    <x v="1"/>
  </r>
  <r>
    <n v="20000"/>
    <x v="0"/>
    <x v="1"/>
    <n v="60000"/>
    <n v="1"/>
    <x v="4"/>
    <s v="Professional"/>
    <s v="Yes"/>
    <n v="0"/>
    <x v="0"/>
    <x v="3"/>
    <x v="11"/>
    <x v="0"/>
    <x v="1"/>
  </r>
  <r>
    <n v="25261"/>
    <x v="0"/>
    <x v="1"/>
    <n v="40000"/>
    <n v="0"/>
    <x v="2"/>
    <s v="Skilled Manual"/>
    <s v="Yes"/>
    <n v="2"/>
    <x v="2"/>
    <x v="3"/>
    <x v="40"/>
    <x v="2"/>
    <x v="0"/>
  </r>
  <r>
    <n v="17458"/>
    <x v="1"/>
    <x v="1"/>
    <n v="70000"/>
    <n v="3"/>
    <x v="2"/>
    <s v="Professional"/>
    <s v="Yes"/>
    <n v="0"/>
    <x v="2"/>
    <x v="3"/>
    <x v="31"/>
    <x v="0"/>
    <x v="1"/>
  </r>
  <r>
    <n v="11644"/>
    <x v="1"/>
    <x v="1"/>
    <n v="40000"/>
    <n v="2"/>
    <x v="0"/>
    <s v="Skilled Manual"/>
    <s v="Yes"/>
    <n v="0"/>
    <x v="1"/>
    <x v="3"/>
    <x v="4"/>
    <x v="0"/>
    <x v="0"/>
  </r>
  <r>
    <n v="16145"/>
    <x v="1"/>
    <x v="0"/>
    <n v="70000"/>
    <n v="5"/>
    <x v="4"/>
    <s v="Professional"/>
    <s v="Yes"/>
    <n v="3"/>
    <x v="4"/>
    <x v="3"/>
    <x v="30"/>
    <x v="0"/>
    <x v="1"/>
  </r>
  <r>
    <n v="16890"/>
    <x v="0"/>
    <x v="1"/>
    <n v="60000"/>
    <n v="3"/>
    <x v="3"/>
    <s v="Skilled Manual"/>
    <s v="Yes"/>
    <n v="2"/>
    <x v="2"/>
    <x v="3"/>
    <x v="31"/>
    <x v="0"/>
    <x v="1"/>
  </r>
  <r>
    <n v="25983"/>
    <x v="0"/>
    <x v="1"/>
    <n v="70000"/>
    <n v="0"/>
    <x v="0"/>
    <s v="Professional"/>
    <s v="No"/>
    <n v="1"/>
    <x v="0"/>
    <x v="3"/>
    <x v="1"/>
    <x v="0"/>
    <x v="0"/>
  </r>
  <r>
    <n v="14633"/>
    <x v="0"/>
    <x v="1"/>
    <n v="60000"/>
    <n v="1"/>
    <x v="1"/>
    <s v="Skilled Manual"/>
    <s v="Yes"/>
    <n v="1"/>
    <x v="1"/>
    <x v="3"/>
    <x v="20"/>
    <x v="0"/>
    <x v="0"/>
  </r>
  <r>
    <n v="22994"/>
    <x v="0"/>
    <x v="0"/>
    <n v="80000"/>
    <n v="0"/>
    <x v="0"/>
    <s v="Management"/>
    <s v="Yes"/>
    <n v="1"/>
    <x v="3"/>
    <x v="3"/>
    <x v="17"/>
    <x v="0"/>
    <x v="1"/>
  </r>
  <r>
    <n v="22983"/>
    <x v="1"/>
    <x v="0"/>
    <n v="30000"/>
    <n v="0"/>
    <x v="3"/>
    <s v="Clerical"/>
    <s v="Yes"/>
    <n v="2"/>
    <x v="2"/>
    <x v="3"/>
    <x v="40"/>
    <x v="2"/>
    <x v="0"/>
  </r>
  <r>
    <n v="25184"/>
    <x v="1"/>
    <x v="1"/>
    <n v="110000"/>
    <n v="1"/>
    <x v="1"/>
    <s v="Professional"/>
    <s v="Yes"/>
    <n v="4"/>
    <x v="2"/>
    <x v="3"/>
    <x v="12"/>
    <x v="0"/>
    <x v="1"/>
  </r>
  <r>
    <n v="14469"/>
    <x v="0"/>
    <x v="0"/>
    <n v="100000"/>
    <n v="3"/>
    <x v="1"/>
    <s v="Professional"/>
    <s v="Yes"/>
    <n v="4"/>
    <x v="3"/>
    <x v="3"/>
    <x v="12"/>
    <x v="0"/>
    <x v="0"/>
  </r>
  <r>
    <n v="11538"/>
    <x v="1"/>
    <x v="0"/>
    <n v="60000"/>
    <n v="4"/>
    <x v="4"/>
    <s v="Skilled Manual"/>
    <s v="No"/>
    <n v="0"/>
    <x v="0"/>
    <x v="3"/>
    <x v="15"/>
    <x v="0"/>
    <x v="1"/>
  </r>
  <r>
    <n v="16245"/>
    <x v="1"/>
    <x v="0"/>
    <n v="80000"/>
    <n v="4"/>
    <x v="4"/>
    <s v="Skilled Manual"/>
    <s v="Yes"/>
    <n v="0"/>
    <x v="3"/>
    <x v="3"/>
    <x v="15"/>
    <x v="0"/>
    <x v="0"/>
  </r>
  <r>
    <n v="17858"/>
    <x v="0"/>
    <x v="1"/>
    <n v="40000"/>
    <n v="4"/>
    <x v="2"/>
    <s v="Skilled Manual"/>
    <s v="Yes"/>
    <n v="2"/>
    <x v="1"/>
    <x v="3"/>
    <x v="20"/>
    <x v="0"/>
    <x v="1"/>
  </r>
  <r>
    <n v="25347"/>
    <x v="1"/>
    <x v="0"/>
    <n v="20000"/>
    <n v="3"/>
    <x v="3"/>
    <s v="Clerical"/>
    <s v="No"/>
    <n v="2"/>
    <x v="0"/>
    <x v="3"/>
    <x v="38"/>
    <x v="0"/>
    <x v="0"/>
  </r>
  <r>
    <n v="15814"/>
    <x v="1"/>
    <x v="0"/>
    <n v="40000"/>
    <n v="0"/>
    <x v="2"/>
    <s v="Skilled Manual"/>
    <s v="Yes"/>
    <n v="1"/>
    <x v="2"/>
    <x v="3"/>
    <x v="25"/>
    <x v="2"/>
    <x v="0"/>
  </r>
  <r>
    <n v="11259"/>
    <x v="0"/>
    <x v="0"/>
    <n v="100000"/>
    <n v="4"/>
    <x v="1"/>
    <s v="Professional"/>
    <s v="Yes"/>
    <n v="4"/>
    <x v="1"/>
    <x v="3"/>
    <x v="3"/>
    <x v="0"/>
    <x v="1"/>
  </r>
  <r>
    <n v="11200"/>
    <x v="0"/>
    <x v="1"/>
    <n v="70000"/>
    <n v="4"/>
    <x v="0"/>
    <s v="Management"/>
    <s v="Yes"/>
    <n v="1"/>
    <x v="3"/>
    <x v="3"/>
    <x v="7"/>
    <x v="1"/>
    <x v="0"/>
  </r>
  <r>
    <n v="25101"/>
    <x v="0"/>
    <x v="1"/>
    <n v="60000"/>
    <n v="5"/>
    <x v="0"/>
    <s v="Professional"/>
    <s v="Yes"/>
    <n v="1"/>
    <x v="1"/>
    <x v="3"/>
    <x v="15"/>
    <x v="0"/>
    <x v="0"/>
  </r>
  <r>
    <n v="21801"/>
    <x v="0"/>
    <x v="0"/>
    <n v="70000"/>
    <n v="4"/>
    <x v="1"/>
    <s v="Professional"/>
    <s v="Yes"/>
    <n v="1"/>
    <x v="3"/>
    <x v="3"/>
    <x v="10"/>
    <x v="1"/>
    <x v="0"/>
  </r>
  <r>
    <n v="25943"/>
    <x v="1"/>
    <x v="0"/>
    <n v="70000"/>
    <n v="0"/>
    <x v="1"/>
    <s v="Skilled Manual"/>
    <s v="No"/>
    <n v="2"/>
    <x v="0"/>
    <x v="3"/>
    <x v="40"/>
    <x v="2"/>
    <x v="1"/>
  </r>
  <r>
    <n v="22127"/>
    <x v="0"/>
    <x v="1"/>
    <n v="60000"/>
    <n v="3"/>
    <x v="4"/>
    <s v="Management"/>
    <s v="Yes"/>
    <n v="2"/>
    <x v="3"/>
    <x v="3"/>
    <x v="41"/>
    <x v="1"/>
    <x v="0"/>
  </r>
  <r>
    <n v="20414"/>
    <x v="0"/>
    <x v="0"/>
    <n v="60000"/>
    <n v="0"/>
    <x v="1"/>
    <s v="Skilled Manual"/>
    <s v="Yes"/>
    <n v="2"/>
    <x v="2"/>
    <x v="3"/>
    <x v="19"/>
    <x v="2"/>
    <x v="0"/>
  </r>
  <r>
    <n v="23672"/>
    <x v="0"/>
    <x v="0"/>
    <n v="60000"/>
    <n v="3"/>
    <x v="4"/>
    <s v="Management"/>
    <s v="Yes"/>
    <n v="2"/>
    <x v="3"/>
    <x v="3"/>
    <x v="41"/>
    <x v="1"/>
    <x v="0"/>
  </r>
  <r>
    <n v="29255"/>
    <x v="1"/>
    <x v="1"/>
    <n v="80000"/>
    <n v="3"/>
    <x v="1"/>
    <s v="Professional"/>
    <s v="No"/>
    <n v="1"/>
    <x v="3"/>
    <x v="3"/>
    <x v="36"/>
    <x v="0"/>
    <x v="1"/>
  </r>
  <r>
    <n v="28815"/>
    <x v="0"/>
    <x v="0"/>
    <n v="50000"/>
    <n v="1"/>
    <x v="4"/>
    <s v="Skilled Manual"/>
    <s v="Yes"/>
    <n v="0"/>
    <x v="0"/>
    <x v="3"/>
    <x v="11"/>
    <x v="0"/>
    <x v="0"/>
  </r>
  <r>
    <n v="27753"/>
    <x v="0"/>
    <x v="1"/>
    <n v="40000"/>
    <n v="0"/>
    <x v="2"/>
    <s v="Skilled Manual"/>
    <s v="No"/>
    <n v="2"/>
    <x v="3"/>
    <x v="3"/>
    <x v="25"/>
    <x v="2"/>
    <x v="0"/>
  </r>
  <r>
    <n v="27643"/>
    <x v="1"/>
    <x v="1"/>
    <n v="70000"/>
    <n v="5"/>
    <x v="1"/>
    <s v="Professional"/>
    <s v="Yes"/>
    <n v="3"/>
    <x v="1"/>
    <x v="3"/>
    <x v="20"/>
    <x v="0"/>
    <x v="0"/>
  </r>
  <r>
    <n v="13754"/>
    <x v="1"/>
    <x v="0"/>
    <n v="80000"/>
    <n v="4"/>
    <x v="4"/>
    <s v="Skilled Manual"/>
    <s v="Yes"/>
    <n v="0"/>
    <x v="3"/>
    <x v="3"/>
    <x v="28"/>
    <x v="0"/>
    <x v="0"/>
  </r>
  <r>
    <n v="22088"/>
    <x v="0"/>
    <x v="0"/>
    <n v="130000"/>
    <n v="1"/>
    <x v="0"/>
    <s v="Management"/>
    <s v="Yes"/>
    <n v="2"/>
    <x v="0"/>
    <x v="3"/>
    <x v="12"/>
    <x v="0"/>
    <x v="1"/>
  </r>
  <r>
    <n v="27388"/>
    <x v="0"/>
    <x v="1"/>
    <n v="60000"/>
    <n v="3"/>
    <x v="0"/>
    <s v="Management"/>
    <s v="No"/>
    <n v="2"/>
    <x v="3"/>
    <x v="3"/>
    <x v="29"/>
    <x v="1"/>
    <x v="0"/>
  </r>
  <r>
    <n v="24745"/>
    <x v="1"/>
    <x v="0"/>
    <n v="30000"/>
    <n v="2"/>
    <x v="2"/>
    <s v="Skilled Manual"/>
    <s v="No"/>
    <n v="2"/>
    <x v="0"/>
    <x v="3"/>
    <x v="38"/>
    <x v="0"/>
    <x v="0"/>
  </r>
  <r>
    <n v="29237"/>
    <x v="1"/>
    <x v="0"/>
    <n v="120000"/>
    <n v="4"/>
    <x v="1"/>
    <s v="Professional"/>
    <s v="Yes"/>
    <n v="3"/>
    <x v="2"/>
    <x v="3"/>
    <x v="1"/>
    <x v="0"/>
    <x v="1"/>
  </r>
  <r>
    <n v="15272"/>
    <x v="1"/>
    <x v="1"/>
    <n v="40000"/>
    <n v="0"/>
    <x v="2"/>
    <s v="Skilled Manual"/>
    <s v="No"/>
    <n v="2"/>
    <x v="3"/>
    <x v="3"/>
    <x v="25"/>
    <x v="2"/>
    <x v="0"/>
  </r>
  <r>
    <n v="18949"/>
    <x v="1"/>
    <x v="1"/>
    <n v="70000"/>
    <n v="0"/>
    <x v="4"/>
    <s v="Management"/>
    <s v="Yes"/>
    <n v="2"/>
    <x v="2"/>
    <x v="3"/>
    <x v="50"/>
    <x v="1"/>
    <x v="1"/>
  </r>
  <r>
    <n v="14507"/>
    <x v="0"/>
    <x v="1"/>
    <n v="100000"/>
    <n v="2"/>
    <x v="4"/>
    <s v="Management"/>
    <s v="Yes"/>
    <n v="3"/>
    <x v="3"/>
    <x v="3"/>
    <x v="27"/>
    <x v="1"/>
    <x v="0"/>
  </r>
  <r>
    <n v="25886"/>
    <x v="0"/>
    <x v="0"/>
    <n v="60000"/>
    <n v="2"/>
    <x v="1"/>
    <s v="Professional"/>
    <s v="Yes"/>
    <n v="2"/>
    <x v="1"/>
    <x v="3"/>
    <x v="16"/>
    <x v="1"/>
    <x v="1"/>
  </r>
  <r>
    <n v="21441"/>
    <x v="0"/>
    <x v="1"/>
    <n v="50000"/>
    <n v="4"/>
    <x v="0"/>
    <s v="Management"/>
    <s v="Yes"/>
    <n v="2"/>
    <x v="4"/>
    <x v="3"/>
    <x v="46"/>
    <x v="1"/>
    <x v="0"/>
  </r>
  <r>
    <n v="21741"/>
    <x v="0"/>
    <x v="0"/>
    <n v="70000"/>
    <n v="3"/>
    <x v="1"/>
    <s v="Professional"/>
    <s v="Yes"/>
    <n v="2"/>
    <x v="2"/>
    <x v="3"/>
    <x v="5"/>
    <x v="0"/>
    <x v="1"/>
  </r>
  <r>
    <n v="14572"/>
    <x v="0"/>
    <x v="0"/>
    <n v="70000"/>
    <n v="3"/>
    <x v="4"/>
    <s v="Professional"/>
    <s v="Yes"/>
    <n v="0"/>
    <x v="1"/>
    <x v="3"/>
    <x v="11"/>
    <x v="0"/>
    <x v="1"/>
  </r>
  <r>
    <n v="23368"/>
    <x v="0"/>
    <x v="0"/>
    <n v="60000"/>
    <n v="5"/>
    <x v="0"/>
    <s v="Skilled Manual"/>
    <s v="Yes"/>
    <n v="3"/>
    <x v="4"/>
    <x v="3"/>
    <x v="3"/>
    <x v="0"/>
    <x v="0"/>
  </r>
  <r>
    <n v="16217"/>
    <x v="1"/>
    <x v="0"/>
    <n v="60000"/>
    <n v="0"/>
    <x v="4"/>
    <s v="Skilled Manual"/>
    <s v="Yes"/>
    <n v="0"/>
    <x v="0"/>
    <x v="3"/>
    <x v="32"/>
    <x v="0"/>
    <x v="0"/>
  </r>
  <r>
    <n v="16247"/>
    <x v="1"/>
    <x v="0"/>
    <n v="60000"/>
    <n v="4"/>
    <x v="4"/>
    <s v="Skilled Manual"/>
    <s v="No"/>
    <n v="0"/>
    <x v="3"/>
    <x v="3"/>
    <x v="15"/>
    <x v="0"/>
    <x v="0"/>
  </r>
  <r>
    <n v="22010"/>
    <x v="1"/>
    <x v="1"/>
    <n v="40000"/>
    <n v="0"/>
    <x v="2"/>
    <s v="Skilled Manual"/>
    <s v="Yes"/>
    <n v="2"/>
    <x v="2"/>
    <x v="3"/>
    <x v="23"/>
    <x v="0"/>
    <x v="0"/>
  </r>
  <r>
    <n v="25872"/>
    <x v="1"/>
    <x v="0"/>
    <n v="70000"/>
    <n v="2"/>
    <x v="0"/>
    <s v="Management"/>
    <s v="No"/>
    <n v="1"/>
    <x v="1"/>
    <x v="3"/>
    <x v="7"/>
    <x v="1"/>
    <x v="1"/>
  </r>
  <r>
    <n v="19164"/>
    <x v="1"/>
    <x v="0"/>
    <n v="70000"/>
    <n v="0"/>
    <x v="0"/>
    <s v="Professional"/>
    <s v="No"/>
    <n v="1"/>
    <x v="1"/>
    <x v="3"/>
    <x v="13"/>
    <x v="0"/>
    <x v="1"/>
  </r>
  <r>
    <n v="18435"/>
    <x v="1"/>
    <x v="0"/>
    <n v="70000"/>
    <n v="5"/>
    <x v="4"/>
    <s v="Management"/>
    <s v="Yes"/>
    <n v="2"/>
    <x v="4"/>
    <x v="3"/>
    <x v="41"/>
    <x v="1"/>
    <x v="1"/>
  </r>
  <r>
    <n v="14284"/>
    <x v="1"/>
    <x v="1"/>
    <n v="60000"/>
    <n v="0"/>
    <x v="1"/>
    <s v="Professional"/>
    <s v="No"/>
    <n v="2"/>
    <x v="3"/>
    <x v="3"/>
    <x v="21"/>
    <x v="0"/>
    <x v="1"/>
  </r>
  <r>
    <n v="11287"/>
    <x v="0"/>
    <x v="1"/>
    <n v="70000"/>
    <n v="5"/>
    <x v="1"/>
    <s v="Professional"/>
    <s v="No"/>
    <n v="3"/>
    <x v="2"/>
    <x v="3"/>
    <x v="12"/>
    <x v="0"/>
    <x v="0"/>
  </r>
  <r>
    <n v="13066"/>
    <x v="1"/>
    <x v="1"/>
    <n v="30000"/>
    <n v="0"/>
    <x v="2"/>
    <s v="Skilled Manual"/>
    <s v="No"/>
    <n v="2"/>
    <x v="3"/>
    <x v="3"/>
    <x v="23"/>
    <x v="0"/>
    <x v="1"/>
  </r>
  <r>
    <n v="29106"/>
    <x v="1"/>
    <x v="1"/>
    <n v="40000"/>
    <n v="0"/>
    <x v="2"/>
    <s v="Skilled Manual"/>
    <s v="No"/>
    <n v="2"/>
    <x v="3"/>
    <x v="3"/>
    <x v="23"/>
    <x v="0"/>
    <x v="1"/>
  </r>
  <r>
    <n v="26236"/>
    <x v="0"/>
    <x v="0"/>
    <n v="40000"/>
    <n v="3"/>
    <x v="1"/>
    <s v="Clerical"/>
    <s v="Yes"/>
    <n v="1"/>
    <x v="0"/>
    <x v="3"/>
    <x v="23"/>
    <x v="0"/>
    <x v="0"/>
  </r>
  <r>
    <n v="17531"/>
    <x v="0"/>
    <x v="1"/>
    <n v="60000"/>
    <n v="2"/>
    <x v="2"/>
    <s v="Professional"/>
    <s v="No"/>
    <n v="2"/>
    <x v="2"/>
    <x v="3"/>
    <x v="5"/>
    <x v="0"/>
    <x v="0"/>
  </r>
  <r>
    <n v="12964"/>
    <x v="0"/>
    <x v="1"/>
    <n v="70000"/>
    <n v="1"/>
    <x v="1"/>
    <s v="Skilled Manual"/>
    <s v="Yes"/>
    <n v="1"/>
    <x v="0"/>
    <x v="3"/>
    <x v="20"/>
    <x v="0"/>
    <x v="0"/>
  </r>
  <r>
    <n v="19133"/>
    <x v="1"/>
    <x v="1"/>
    <n v="50000"/>
    <n v="2"/>
    <x v="0"/>
    <s v="Skilled Manual"/>
    <s v="Yes"/>
    <n v="1"/>
    <x v="1"/>
    <x v="3"/>
    <x v="13"/>
    <x v="0"/>
    <x v="1"/>
  </r>
  <r>
    <n v="24643"/>
    <x v="1"/>
    <x v="0"/>
    <n v="60000"/>
    <n v="4"/>
    <x v="0"/>
    <s v="Management"/>
    <s v="Yes"/>
    <n v="2"/>
    <x v="4"/>
    <x v="3"/>
    <x v="18"/>
    <x v="1"/>
    <x v="0"/>
  </r>
  <r>
    <n v="21599"/>
    <x v="0"/>
    <x v="0"/>
    <n v="60000"/>
    <n v="1"/>
    <x v="4"/>
    <s v="Professional"/>
    <s v="Yes"/>
    <n v="0"/>
    <x v="1"/>
    <x v="3"/>
    <x v="4"/>
    <x v="0"/>
    <x v="1"/>
  </r>
  <r>
    <n v="22976"/>
    <x v="1"/>
    <x v="1"/>
    <n v="40000"/>
    <n v="0"/>
    <x v="2"/>
    <s v="Skilled Manual"/>
    <s v="No"/>
    <n v="2"/>
    <x v="0"/>
    <x v="3"/>
    <x v="26"/>
    <x v="2"/>
    <x v="1"/>
  </r>
  <r>
    <n v="27637"/>
    <x v="1"/>
    <x v="0"/>
    <n v="100000"/>
    <n v="1"/>
    <x v="1"/>
    <s v="Professional"/>
    <s v="No"/>
    <n v="3"/>
    <x v="3"/>
    <x v="3"/>
    <x v="20"/>
    <x v="0"/>
    <x v="0"/>
  </r>
  <r>
    <n v="11890"/>
    <x v="0"/>
    <x v="0"/>
    <n v="70000"/>
    <n v="5"/>
    <x v="4"/>
    <s v="Professional"/>
    <s v="Yes"/>
    <n v="1"/>
    <x v="0"/>
    <x v="3"/>
    <x v="15"/>
    <x v="0"/>
    <x v="0"/>
  </r>
  <r>
    <n v="28580"/>
    <x v="0"/>
    <x v="0"/>
    <n v="80000"/>
    <n v="0"/>
    <x v="4"/>
    <s v="Skilled Manual"/>
    <s v="Yes"/>
    <n v="0"/>
    <x v="3"/>
    <x v="3"/>
    <x v="8"/>
    <x v="0"/>
    <x v="1"/>
  </r>
  <r>
    <n v="14443"/>
    <x v="0"/>
    <x v="1"/>
    <n v="130000"/>
    <n v="1"/>
    <x v="4"/>
    <s v="Management"/>
    <s v="Yes"/>
    <n v="4"/>
    <x v="0"/>
    <x v="3"/>
    <x v="8"/>
    <x v="0"/>
    <x v="0"/>
  </r>
  <r>
    <n v="17864"/>
    <x v="0"/>
    <x v="0"/>
    <n v="60000"/>
    <n v="1"/>
    <x v="1"/>
    <s v="Skilled Manual"/>
    <s v="Yes"/>
    <n v="1"/>
    <x v="1"/>
    <x v="3"/>
    <x v="30"/>
    <x v="0"/>
    <x v="1"/>
  </r>
  <r>
    <n v="20505"/>
    <x v="0"/>
    <x v="0"/>
    <n v="40000"/>
    <n v="5"/>
    <x v="2"/>
    <s v="Professional"/>
    <s v="No"/>
    <n v="2"/>
    <x v="4"/>
    <x v="3"/>
    <x v="33"/>
    <x v="1"/>
    <x v="0"/>
  </r>
  <r>
    <n v="14592"/>
    <x v="0"/>
    <x v="0"/>
    <n v="60000"/>
    <n v="0"/>
    <x v="4"/>
    <s v="Professional"/>
    <s v="Yes"/>
    <n v="0"/>
    <x v="0"/>
    <x v="3"/>
    <x v="8"/>
    <x v="0"/>
    <x v="0"/>
  </r>
  <r>
    <n v="22227"/>
    <x v="0"/>
    <x v="0"/>
    <n v="60000"/>
    <n v="2"/>
    <x v="2"/>
    <s v="Professional"/>
    <s v="Yes"/>
    <n v="2"/>
    <x v="2"/>
    <x v="3"/>
    <x v="5"/>
    <x v="0"/>
    <x v="0"/>
  </r>
  <r>
    <n v="21471"/>
    <x v="0"/>
    <x v="1"/>
    <n v="70000"/>
    <n v="2"/>
    <x v="1"/>
    <s v="Professional"/>
    <s v="Yes"/>
    <n v="1"/>
    <x v="4"/>
    <x v="3"/>
    <x v="14"/>
    <x v="1"/>
    <x v="0"/>
  </r>
  <r>
    <n v="22252"/>
    <x v="1"/>
    <x v="0"/>
    <n v="60000"/>
    <n v="1"/>
    <x v="4"/>
    <s v="Professional"/>
    <s v="Yes"/>
    <n v="0"/>
    <x v="1"/>
    <x v="3"/>
    <x v="4"/>
    <x v="0"/>
    <x v="1"/>
  </r>
  <r>
    <n v="21260"/>
    <x v="1"/>
    <x v="0"/>
    <n v="40000"/>
    <n v="0"/>
    <x v="2"/>
    <s v="Skilled Manual"/>
    <s v="Yes"/>
    <n v="2"/>
    <x v="2"/>
    <x v="3"/>
    <x v="25"/>
    <x v="2"/>
    <x v="0"/>
  </r>
  <r>
    <n v="11817"/>
    <x v="1"/>
    <x v="0"/>
    <n v="70000"/>
    <n v="4"/>
    <x v="4"/>
    <s v="Professional"/>
    <s v="Yes"/>
    <n v="0"/>
    <x v="1"/>
    <x v="3"/>
    <x v="11"/>
    <x v="0"/>
    <x v="1"/>
  </r>
  <r>
    <n v="19223"/>
    <x v="0"/>
    <x v="0"/>
    <n v="30000"/>
    <n v="2"/>
    <x v="2"/>
    <s v="Skilled Manual"/>
    <s v="Yes"/>
    <n v="2"/>
    <x v="3"/>
    <x v="3"/>
    <x v="28"/>
    <x v="0"/>
    <x v="0"/>
  </r>
  <r>
    <n v="18517"/>
    <x v="0"/>
    <x v="1"/>
    <n v="100000"/>
    <n v="3"/>
    <x v="0"/>
    <s v="Management"/>
    <s v="Yes"/>
    <n v="4"/>
    <x v="0"/>
    <x v="3"/>
    <x v="3"/>
    <x v="0"/>
    <x v="0"/>
  </r>
  <r>
    <n v="21717"/>
    <x v="0"/>
    <x v="1"/>
    <n v="40000"/>
    <n v="2"/>
    <x v="1"/>
    <s v="Clerical"/>
    <s v="Yes"/>
    <n v="1"/>
    <x v="0"/>
    <x v="3"/>
    <x v="15"/>
    <x v="0"/>
    <x v="0"/>
  </r>
  <r>
    <n v="13760"/>
    <x v="0"/>
    <x v="1"/>
    <n v="60000"/>
    <n v="4"/>
    <x v="4"/>
    <s v="Skilled Manual"/>
    <s v="No"/>
    <n v="0"/>
    <x v="0"/>
    <x v="3"/>
    <x v="15"/>
    <x v="0"/>
    <x v="0"/>
  </r>
  <r>
    <n v="18145"/>
    <x v="0"/>
    <x v="1"/>
    <n v="80000"/>
    <n v="5"/>
    <x v="0"/>
    <s v="Management"/>
    <s v="No"/>
    <n v="2"/>
    <x v="1"/>
    <x v="0"/>
    <x v="24"/>
    <x v="1"/>
    <x v="0"/>
  </r>
  <r>
    <n v="21770"/>
    <x v="0"/>
    <x v="1"/>
    <n v="60000"/>
    <n v="4"/>
    <x v="0"/>
    <s v="Management"/>
    <s v="Yes"/>
    <n v="2"/>
    <x v="4"/>
    <x v="3"/>
    <x v="2"/>
    <x v="1"/>
    <x v="0"/>
  </r>
  <r>
    <n v="11165"/>
    <x v="0"/>
    <x v="0"/>
    <n v="60000"/>
    <n v="0"/>
    <x v="1"/>
    <s v="Skilled Manual"/>
    <s v="No"/>
    <n v="1"/>
    <x v="3"/>
    <x v="3"/>
    <x v="6"/>
    <x v="0"/>
    <x v="0"/>
  </r>
  <r>
    <n v="16377"/>
    <x v="1"/>
    <x v="0"/>
    <n v="80000"/>
    <n v="4"/>
    <x v="4"/>
    <s v="Skilled Manual"/>
    <s v="No"/>
    <n v="0"/>
    <x v="0"/>
    <x v="3"/>
    <x v="15"/>
    <x v="0"/>
    <x v="0"/>
  </r>
  <r>
    <n v="26248"/>
    <x v="0"/>
    <x v="1"/>
    <n v="20000"/>
    <n v="3"/>
    <x v="3"/>
    <s v="Clerical"/>
    <s v="No"/>
    <n v="2"/>
    <x v="0"/>
    <x v="3"/>
    <x v="31"/>
    <x v="0"/>
    <x v="0"/>
  </r>
  <r>
    <n v="23461"/>
    <x v="0"/>
    <x v="0"/>
    <n v="90000"/>
    <n v="5"/>
    <x v="1"/>
    <s v="Professional"/>
    <s v="Yes"/>
    <n v="3"/>
    <x v="1"/>
    <x v="3"/>
    <x v="8"/>
    <x v="0"/>
    <x v="0"/>
  </r>
  <r>
    <n v="29133"/>
    <x v="1"/>
    <x v="0"/>
    <n v="60000"/>
    <n v="4"/>
    <x v="0"/>
    <s v="Skilled Manual"/>
    <s v="No"/>
    <n v="2"/>
    <x v="0"/>
    <x v="3"/>
    <x v="0"/>
    <x v="0"/>
    <x v="0"/>
  </r>
  <r>
    <n v="27673"/>
    <x v="1"/>
    <x v="0"/>
    <n v="60000"/>
    <n v="3"/>
    <x v="4"/>
    <s v="Management"/>
    <s v="Yes"/>
    <n v="2"/>
    <x v="2"/>
    <x v="3"/>
    <x v="39"/>
    <x v="0"/>
    <x v="1"/>
  </r>
  <r>
    <n v="12774"/>
    <x v="0"/>
    <x v="0"/>
    <n v="40000"/>
    <n v="1"/>
    <x v="1"/>
    <s v="Clerical"/>
    <s v="Yes"/>
    <n v="1"/>
    <x v="3"/>
    <x v="3"/>
    <x v="36"/>
    <x v="0"/>
    <x v="1"/>
  </r>
  <r>
    <n v="18910"/>
    <x v="1"/>
    <x v="1"/>
    <n v="30000"/>
    <n v="0"/>
    <x v="1"/>
    <s v="Skilled Manual"/>
    <s v="Yes"/>
    <n v="2"/>
    <x v="2"/>
    <x v="3"/>
    <x v="25"/>
    <x v="2"/>
    <x v="0"/>
  </r>
  <r>
    <n v="11699"/>
    <x v="1"/>
    <x v="1"/>
    <n v="60000"/>
    <n v="0"/>
    <x v="0"/>
    <s v="Skilled Manual"/>
    <s v="No"/>
    <n v="2"/>
    <x v="0"/>
    <x v="3"/>
    <x v="25"/>
    <x v="2"/>
    <x v="0"/>
  </r>
  <r>
    <n v="16725"/>
    <x v="0"/>
    <x v="1"/>
    <n v="30000"/>
    <n v="0"/>
    <x v="2"/>
    <s v="Skilled Manual"/>
    <s v="Yes"/>
    <n v="2"/>
    <x v="2"/>
    <x v="3"/>
    <x v="22"/>
    <x v="2"/>
    <x v="0"/>
  </r>
  <r>
    <n v="28269"/>
    <x v="1"/>
    <x v="0"/>
    <n v="130000"/>
    <n v="1"/>
    <x v="0"/>
    <s v="Management"/>
    <s v="No"/>
    <n v="1"/>
    <x v="1"/>
    <x v="3"/>
    <x v="12"/>
    <x v="0"/>
    <x v="0"/>
  </r>
  <r>
    <n v="23144"/>
    <x v="0"/>
    <x v="1"/>
    <n v="50000"/>
    <n v="1"/>
    <x v="0"/>
    <s v="Skilled Manual"/>
    <s v="Yes"/>
    <n v="0"/>
    <x v="0"/>
    <x v="3"/>
    <x v="17"/>
    <x v="0"/>
    <x v="1"/>
  </r>
  <r>
    <n v="23376"/>
    <x v="0"/>
    <x v="1"/>
    <n v="70000"/>
    <n v="1"/>
    <x v="0"/>
    <s v="Professional"/>
    <s v="Yes"/>
    <n v="1"/>
    <x v="1"/>
    <x v="3"/>
    <x v="20"/>
    <x v="0"/>
    <x v="1"/>
  </r>
  <r>
    <n v="25970"/>
    <x v="1"/>
    <x v="0"/>
    <n v="60000"/>
    <n v="4"/>
    <x v="0"/>
    <s v="Skilled Manual"/>
    <s v="No"/>
    <n v="2"/>
    <x v="0"/>
    <x v="3"/>
    <x v="3"/>
    <x v="0"/>
    <x v="1"/>
  </r>
  <r>
    <n v="28068"/>
    <x v="1"/>
    <x v="0"/>
    <n v="80000"/>
    <n v="3"/>
    <x v="4"/>
    <s v="Professional"/>
    <s v="No"/>
    <n v="0"/>
    <x v="0"/>
    <x v="3"/>
    <x v="4"/>
    <x v="0"/>
    <x v="1"/>
  </r>
  <r>
    <n v="18390"/>
    <x v="0"/>
    <x v="1"/>
    <n v="80000"/>
    <n v="5"/>
    <x v="1"/>
    <s v="Professional"/>
    <s v="Yes"/>
    <n v="2"/>
    <x v="0"/>
    <x v="3"/>
    <x v="20"/>
    <x v="0"/>
    <x v="0"/>
  </r>
  <r>
    <n v="29112"/>
    <x v="1"/>
    <x v="1"/>
    <n v="60000"/>
    <n v="0"/>
    <x v="1"/>
    <s v="Professional"/>
    <s v="No"/>
    <n v="2"/>
    <x v="3"/>
    <x v="3"/>
    <x v="25"/>
    <x v="2"/>
    <x v="0"/>
  </r>
  <r>
    <n v="14090"/>
    <x v="0"/>
    <x v="0"/>
    <n v="30000"/>
    <n v="0"/>
    <x v="3"/>
    <s v="Clerical"/>
    <s v="No"/>
    <n v="2"/>
    <x v="0"/>
    <x v="3"/>
    <x v="26"/>
    <x v="2"/>
    <x v="0"/>
  </r>
  <r>
    <n v="27040"/>
    <x v="0"/>
    <x v="1"/>
    <n v="20000"/>
    <n v="2"/>
    <x v="3"/>
    <s v="Clerical"/>
    <s v="Yes"/>
    <n v="2"/>
    <x v="3"/>
    <x v="3"/>
    <x v="38"/>
    <x v="0"/>
    <x v="0"/>
  </r>
  <r>
    <n v="23479"/>
    <x v="1"/>
    <x v="1"/>
    <n v="90000"/>
    <n v="0"/>
    <x v="1"/>
    <s v="Professional"/>
    <s v="No"/>
    <n v="2"/>
    <x v="0"/>
    <x v="3"/>
    <x v="1"/>
    <x v="0"/>
    <x v="1"/>
  </r>
  <r>
    <n v="16795"/>
    <x v="0"/>
    <x v="0"/>
    <n v="70000"/>
    <n v="4"/>
    <x v="0"/>
    <s v="Management"/>
    <s v="Yes"/>
    <n v="1"/>
    <x v="3"/>
    <x v="3"/>
    <x v="14"/>
    <x v="1"/>
    <x v="0"/>
  </r>
  <r>
    <n v="22014"/>
    <x v="1"/>
    <x v="1"/>
    <n v="30000"/>
    <n v="0"/>
    <x v="2"/>
    <s v="Skilled Manual"/>
    <s v="Yes"/>
    <n v="2"/>
    <x v="2"/>
    <x v="3"/>
    <x v="22"/>
    <x v="2"/>
    <x v="0"/>
  </r>
  <r>
    <n v="13314"/>
    <x v="0"/>
    <x v="1"/>
    <n v="120000"/>
    <n v="1"/>
    <x v="2"/>
    <s v="Professional"/>
    <s v="Yes"/>
    <n v="4"/>
    <x v="2"/>
    <x v="3"/>
    <x v="30"/>
    <x v="0"/>
    <x v="1"/>
  </r>
  <r>
    <n v="11619"/>
    <x v="1"/>
    <x v="0"/>
    <n v="50000"/>
    <n v="0"/>
    <x v="4"/>
    <s v="Skilled Manual"/>
    <s v="Yes"/>
    <n v="0"/>
    <x v="3"/>
    <x v="3"/>
    <x v="6"/>
    <x v="0"/>
    <x v="0"/>
  </r>
  <r>
    <n v="29132"/>
    <x v="1"/>
    <x v="0"/>
    <n v="40000"/>
    <n v="0"/>
    <x v="0"/>
    <s v="Professional"/>
    <s v="Yes"/>
    <n v="1"/>
    <x v="1"/>
    <x v="3"/>
    <x v="0"/>
    <x v="0"/>
    <x v="1"/>
  </r>
  <r>
    <n v="11199"/>
    <x v="0"/>
    <x v="0"/>
    <n v="70000"/>
    <n v="4"/>
    <x v="0"/>
    <s v="Management"/>
    <s v="Yes"/>
    <n v="1"/>
    <x v="4"/>
    <x v="3"/>
    <x v="14"/>
    <x v="1"/>
    <x v="0"/>
  </r>
  <r>
    <n v="20296"/>
    <x v="1"/>
    <x v="0"/>
    <n v="60000"/>
    <n v="0"/>
    <x v="1"/>
    <s v="Skilled Manual"/>
    <s v="No"/>
    <n v="1"/>
    <x v="3"/>
    <x v="3"/>
    <x v="6"/>
    <x v="0"/>
    <x v="1"/>
  </r>
  <r>
    <n v="17546"/>
    <x v="0"/>
    <x v="0"/>
    <n v="70000"/>
    <n v="1"/>
    <x v="1"/>
    <s v="Skilled Manual"/>
    <s v="Yes"/>
    <n v="1"/>
    <x v="0"/>
    <x v="3"/>
    <x v="20"/>
    <x v="0"/>
    <x v="1"/>
  </r>
  <r>
    <n v="18069"/>
    <x v="0"/>
    <x v="1"/>
    <n v="70000"/>
    <n v="5"/>
    <x v="0"/>
    <s v="Management"/>
    <s v="Yes"/>
    <n v="4"/>
    <x v="4"/>
    <x v="3"/>
    <x v="2"/>
    <x v="1"/>
    <x v="0"/>
  </r>
  <r>
    <n v="23712"/>
    <x v="1"/>
    <x v="0"/>
    <n v="70000"/>
    <n v="2"/>
    <x v="0"/>
    <s v="Management"/>
    <s v="Yes"/>
    <n v="1"/>
    <x v="4"/>
    <x v="3"/>
    <x v="14"/>
    <x v="1"/>
    <x v="0"/>
  </r>
  <r>
    <n v="23358"/>
    <x v="0"/>
    <x v="1"/>
    <n v="60000"/>
    <n v="0"/>
    <x v="2"/>
    <s v="Professional"/>
    <s v="Yes"/>
    <n v="2"/>
    <x v="2"/>
    <x v="3"/>
    <x v="21"/>
    <x v="0"/>
    <x v="1"/>
  </r>
  <r>
    <n v="20518"/>
    <x v="0"/>
    <x v="0"/>
    <n v="70000"/>
    <n v="2"/>
    <x v="1"/>
    <s v="Professional"/>
    <s v="Yes"/>
    <n v="1"/>
    <x v="4"/>
    <x v="3"/>
    <x v="7"/>
    <x v="1"/>
    <x v="0"/>
  </r>
  <r>
    <n v="28026"/>
    <x v="0"/>
    <x v="0"/>
    <n v="40000"/>
    <n v="2"/>
    <x v="2"/>
    <s v="Professional"/>
    <s v="No"/>
    <n v="2"/>
    <x v="1"/>
    <x v="3"/>
    <x v="14"/>
    <x v="1"/>
    <x v="0"/>
  </r>
  <r>
    <n v="11669"/>
    <x v="1"/>
    <x v="0"/>
    <n v="70000"/>
    <n v="2"/>
    <x v="0"/>
    <s v="Skilled Manual"/>
    <s v="Yes"/>
    <n v="1"/>
    <x v="1"/>
    <x v="3"/>
    <x v="13"/>
    <x v="0"/>
    <x v="0"/>
  </r>
  <r>
    <n v="16020"/>
    <x v="0"/>
    <x v="1"/>
    <n v="40000"/>
    <n v="0"/>
    <x v="2"/>
    <s v="Skilled Manual"/>
    <s v="Yes"/>
    <n v="2"/>
    <x v="2"/>
    <x v="3"/>
    <x v="26"/>
    <x v="2"/>
    <x v="1"/>
  </r>
  <r>
    <n v="27090"/>
    <x v="0"/>
    <x v="0"/>
    <n v="60000"/>
    <n v="1"/>
    <x v="4"/>
    <s v="Professional"/>
    <s v="Yes"/>
    <n v="0"/>
    <x v="1"/>
    <x v="3"/>
    <x v="34"/>
    <x v="0"/>
    <x v="1"/>
  </r>
  <r>
    <n v="27198"/>
    <x v="1"/>
    <x v="0"/>
    <n v="80000"/>
    <n v="0"/>
    <x v="4"/>
    <s v="Skilled Manual"/>
    <s v="No"/>
    <n v="0"/>
    <x v="0"/>
    <x v="3"/>
    <x v="8"/>
    <x v="0"/>
    <x v="0"/>
  </r>
  <r>
    <n v="19661"/>
    <x v="1"/>
    <x v="1"/>
    <n v="90000"/>
    <n v="4"/>
    <x v="0"/>
    <s v="Management"/>
    <s v="Yes"/>
    <n v="1"/>
    <x v="3"/>
    <x v="3"/>
    <x v="13"/>
    <x v="0"/>
    <x v="1"/>
  </r>
  <r>
    <n v="26327"/>
    <x v="0"/>
    <x v="1"/>
    <n v="70000"/>
    <n v="4"/>
    <x v="4"/>
    <s v="Professional"/>
    <s v="Yes"/>
    <n v="0"/>
    <x v="1"/>
    <x v="3"/>
    <x v="4"/>
    <x v="0"/>
    <x v="1"/>
  </r>
  <r>
    <n v="26341"/>
    <x v="0"/>
    <x v="0"/>
    <n v="70000"/>
    <n v="5"/>
    <x v="4"/>
    <s v="Professional"/>
    <s v="Yes"/>
    <n v="2"/>
    <x v="0"/>
    <x v="3"/>
    <x v="34"/>
    <x v="0"/>
    <x v="0"/>
  </r>
  <r>
    <n v="24958"/>
    <x v="1"/>
    <x v="0"/>
    <n v="40000"/>
    <n v="5"/>
    <x v="2"/>
    <s v="Professional"/>
    <s v="No"/>
    <n v="3"/>
    <x v="1"/>
    <x v="3"/>
    <x v="2"/>
    <x v="1"/>
    <x v="1"/>
  </r>
  <r>
    <n v="13287"/>
    <x v="1"/>
    <x v="1"/>
    <n v="110000"/>
    <n v="4"/>
    <x v="0"/>
    <s v="Management"/>
    <s v="Yes"/>
    <n v="4"/>
    <x v="2"/>
    <x v="3"/>
    <x v="0"/>
    <x v="0"/>
    <x v="1"/>
  </r>
  <r>
    <n v="14493"/>
    <x v="1"/>
    <x v="0"/>
    <n v="70000"/>
    <n v="3"/>
    <x v="4"/>
    <s v="Management"/>
    <s v="No"/>
    <n v="2"/>
    <x v="3"/>
    <x v="3"/>
    <x v="39"/>
    <x v="0"/>
    <x v="0"/>
  </r>
  <r>
    <n v="26678"/>
    <x v="1"/>
    <x v="0"/>
    <n v="80000"/>
    <n v="2"/>
    <x v="3"/>
    <s v="Skilled Manual"/>
    <s v="Yes"/>
    <n v="2"/>
    <x v="2"/>
    <x v="3"/>
    <x v="38"/>
    <x v="0"/>
    <x v="0"/>
  </r>
  <r>
    <n v="23275"/>
    <x v="0"/>
    <x v="1"/>
    <n v="30000"/>
    <n v="2"/>
    <x v="2"/>
    <s v="Skilled Manual"/>
    <s v="Yes"/>
    <n v="2"/>
    <x v="3"/>
    <x v="3"/>
    <x v="38"/>
    <x v="0"/>
    <x v="0"/>
  </r>
  <r>
    <n v="11270"/>
    <x v="0"/>
    <x v="1"/>
    <n v="130000"/>
    <n v="2"/>
    <x v="4"/>
    <s v="Management"/>
    <s v="Yes"/>
    <n v="3"/>
    <x v="0"/>
    <x v="3"/>
    <x v="0"/>
    <x v="0"/>
    <x v="1"/>
  </r>
  <r>
    <n v="20084"/>
    <x v="0"/>
    <x v="1"/>
    <n v="20000"/>
    <n v="2"/>
    <x v="2"/>
    <s v="Manual"/>
    <s v="No"/>
    <n v="2"/>
    <x v="0"/>
    <x v="3"/>
    <x v="39"/>
    <x v="0"/>
    <x v="0"/>
  </r>
  <r>
    <n v="16144"/>
    <x v="0"/>
    <x v="1"/>
    <n v="70000"/>
    <n v="1"/>
    <x v="4"/>
    <s v="Professional"/>
    <s v="Yes"/>
    <n v="1"/>
    <x v="0"/>
    <x v="3"/>
    <x v="30"/>
    <x v="0"/>
    <x v="1"/>
  </r>
  <r>
    <n v="27731"/>
    <x v="0"/>
    <x v="1"/>
    <n v="40000"/>
    <n v="0"/>
    <x v="2"/>
    <s v="Skilled Manual"/>
    <s v="Yes"/>
    <n v="2"/>
    <x v="2"/>
    <x v="3"/>
    <x v="40"/>
    <x v="2"/>
    <x v="0"/>
  </r>
  <r>
    <n v="11886"/>
    <x v="0"/>
    <x v="0"/>
    <n v="60000"/>
    <n v="3"/>
    <x v="0"/>
    <s v="Professional"/>
    <s v="Yes"/>
    <n v="1"/>
    <x v="0"/>
    <x v="3"/>
    <x v="28"/>
    <x v="0"/>
    <x v="1"/>
  </r>
  <r>
    <n v="24324"/>
    <x v="1"/>
    <x v="0"/>
    <n v="60000"/>
    <n v="4"/>
    <x v="0"/>
    <s v="Skilled Manual"/>
    <s v="Yes"/>
    <n v="2"/>
    <x v="1"/>
    <x v="3"/>
    <x v="3"/>
    <x v="0"/>
    <x v="1"/>
  </r>
  <r>
    <n v="22220"/>
    <x v="0"/>
    <x v="1"/>
    <n v="60000"/>
    <n v="2"/>
    <x v="2"/>
    <s v="Professional"/>
    <s v="No"/>
    <n v="2"/>
    <x v="3"/>
    <x v="3"/>
    <x v="38"/>
    <x v="0"/>
    <x v="1"/>
  </r>
  <r>
    <n v="26625"/>
    <x v="1"/>
    <x v="0"/>
    <n v="60000"/>
    <n v="0"/>
    <x v="4"/>
    <s v="Professional"/>
    <s v="Yes"/>
    <n v="1"/>
    <x v="1"/>
    <x v="3"/>
    <x v="13"/>
    <x v="0"/>
    <x v="1"/>
  </r>
  <r>
    <n v="23027"/>
    <x v="1"/>
    <x v="1"/>
    <n v="130000"/>
    <n v="1"/>
    <x v="0"/>
    <s v="Management"/>
    <s v="No"/>
    <n v="4"/>
    <x v="0"/>
    <x v="3"/>
    <x v="20"/>
    <x v="0"/>
    <x v="0"/>
  </r>
  <r>
    <n v="16867"/>
    <x v="1"/>
    <x v="0"/>
    <n v="130000"/>
    <n v="1"/>
    <x v="0"/>
    <s v="Management"/>
    <s v="No"/>
    <n v="3"/>
    <x v="0"/>
    <x v="3"/>
    <x v="12"/>
    <x v="0"/>
    <x v="1"/>
  </r>
  <r>
    <n v="14514"/>
    <x v="1"/>
    <x v="0"/>
    <n v="30000"/>
    <n v="0"/>
    <x v="1"/>
    <s v="Skilled Manual"/>
    <s v="Yes"/>
    <n v="1"/>
    <x v="2"/>
    <x v="3"/>
    <x v="22"/>
    <x v="2"/>
    <x v="0"/>
  </r>
  <r>
    <n v="19634"/>
    <x v="0"/>
    <x v="1"/>
    <n v="40000"/>
    <n v="0"/>
    <x v="2"/>
    <s v="Skilled Manual"/>
    <s v="Yes"/>
    <n v="1"/>
    <x v="2"/>
    <x v="3"/>
    <x v="23"/>
    <x v="0"/>
    <x v="0"/>
  </r>
  <r>
    <n v="18504"/>
    <x v="0"/>
    <x v="1"/>
    <n v="70000"/>
    <n v="2"/>
    <x v="3"/>
    <s v="Skilled Manual"/>
    <s v="No"/>
    <n v="2"/>
    <x v="3"/>
    <x v="3"/>
    <x v="38"/>
    <x v="0"/>
    <x v="0"/>
  </r>
  <r>
    <n v="28799"/>
    <x v="1"/>
    <x v="0"/>
    <n v="40000"/>
    <n v="2"/>
    <x v="1"/>
    <s v="Clerical"/>
    <s v="No"/>
    <n v="1"/>
    <x v="3"/>
    <x v="3"/>
    <x v="15"/>
    <x v="0"/>
    <x v="1"/>
  </r>
  <r>
    <n v="11225"/>
    <x v="0"/>
    <x v="0"/>
    <n v="60000"/>
    <n v="2"/>
    <x v="1"/>
    <s v="Professional"/>
    <s v="Yes"/>
    <n v="1"/>
    <x v="4"/>
    <x v="3"/>
    <x v="10"/>
    <x v="1"/>
    <x v="0"/>
  </r>
  <r>
    <n v="17657"/>
    <x v="0"/>
    <x v="1"/>
    <n v="40000"/>
    <n v="4"/>
    <x v="1"/>
    <s v="Clerical"/>
    <s v="No"/>
    <n v="0"/>
    <x v="0"/>
    <x v="3"/>
    <x v="25"/>
    <x v="2"/>
    <x v="0"/>
  </r>
  <r>
    <n v="14913"/>
    <x v="0"/>
    <x v="0"/>
    <n v="40000"/>
    <n v="1"/>
    <x v="1"/>
    <s v="Clerical"/>
    <s v="Yes"/>
    <n v="1"/>
    <x v="3"/>
    <x v="3"/>
    <x v="28"/>
    <x v="0"/>
    <x v="1"/>
  </r>
  <r>
    <n v="14077"/>
    <x v="1"/>
    <x v="1"/>
    <n v="30000"/>
    <n v="0"/>
    <x v="2"/>
    <s v="Skilled Manual"/>
    <s v="Yes"/>
    <n v="2"/>
    <x v="2"/>
    <x v="3"/>
    <x v="25"/>
    <x v="2"/>
    <x v="0"/>
  </r>
  <r>
    <n v="13296"/>
    <x v="0"/>
    <x v="1"/>
    <n v="110000"/>
    <n v="1"/>
    <x v="0"/>
    <s v="Management"/>
    <s v="Yes"/>
    <n v="3"/>
    <x v="2"/>
    <x v="3"/>
    <x v="12"/>
    <x v="0"/>
    <x v="0"/>
  </r>
  <r>
    <n v="20535"/>
    <x v="0"/>
    <x v="0"/>
    <n v="70000"/>
    <n v="4"/>
    <x v="1"/>
    <s v="Professional"/>
    <s v="Yes"/>
    <n v="1"/>
    <x v="4"/>
    <x v="3"/>
    <x v="16"/>
    <x v="1"/>
    <x v="0"/>
  </r>
  <r>
    <n v="12452"/>
    <x v="0"/>
    <x v="1"/>
    <n v="60000"/>
    <n v="4"/>
    <x v="4"/>
    <s v="Skilled Manual"/>
    <s v="Yes"/>
    <n v="0"/>
    <x v="3"/>
    <x v="3"/>
    <x v="15"/>
    <x v="0"/>
    <x v="1"/>
  </r>
  <r>
    <n v="28043"/>
    <x v="0"/>
    <x v="0"/>
    <n v="60000"/>
    <n v="2"/>
    <x v="0"/>
    <s v="Management"/>
    <s v="Yes"/>
    <n v="0"/>
    <x v="4"/>
    <x v="3"/>
    <x v="16"/>
    <x v="1"/>
    <x v="0"/>
  </r>
  <r>
    <n v="12957"/>
    <x v="1"/>
    <x v="0"/>
    <n v="70000"/>
    <n v="1"/>
    <x v="0"/>
    <s v="Professional"/>
    <s v="No"/>
    <n v="1"/>
    <x v="0"/>
    <x v="3"/>
    <x v="20"/>
    <x v="0"/>
    <x v="0"/>
  </r>
  <r>
    <n v="15412"/>
    <x v="0"/>
    <x v="1"/>
    <n v="130000"/>
    <n v="2"/>
    <x v="4"/>
    <s v="Management"/>
    <s v="Yes"/>
    <n v="3"/>
    <x v="1"/>
    <x v="3"/>
    <x v="45"/>
    <x v="1"/>
    <x v="0"/>
  </r>
  <r>
    <n v="20514"/>
    <x v="0"/>
    <x v="0"/>
    <n v="70000"/>
    <n v="2"/>
    <x v="1"/>
    <s v="Professional"/>
    <s v="Yes"/>
    <n v="1"/>
    <x v="1"/>
    <x v="3"/>
    <x v="14"/>
    <x v="1"/>
    <x v="0"/>
  </r>
  <r>
    <n v="20758"/>
    <x v="0"/>
    <x v="1"/>
    <n v="30000"/>
    <n v="2"/>
    <x v="2"/>
    <s v="Skilled Manual"/>
    <s v="Yes"/>
    <n v="2"/>
    <x v="3"/>
    <x v="3"/>
    <x v="5"/>
    <x v="0"/>
    <x v="0"/>
  </r>
  <r>
    <n v="11801"/>
    <x v="0"/>
    <x v="1"/>
    <n v="60000"/>
    <n v="1"/>
    <x v="4"/>
    <s v="Professional"/>
    <s v="Yes"/>
    <n v="0"/>
    <x v="1"/>
    <x v="3"/>
    <x v="4"/>
    <x v="0"/>
    <x v="0"/>
  </r>
  <r>
    <n v="22211"/>
    <x v="0"/>
    <x v="1"/>
    <n v="60000"/>
    <n v="0"/>
    <x v="1"/>
    <s v="Professional"/>
    <s v="Yes"/>
    <n v="2"/>
    <x v="2"/>
    <x v="3"/>
    <x v="21"/>
    <x v="0"/>
    <x v="0"/>
  </r>
  <r>
    <n v="28087"/>
    <x v="1"/>
    <x v="0"/>
    <n v="40000"/>
    <n v="0"/>
    <x v="1"/>
    <s v="Skilled Manual"/>
    <s v="No"/>
    <n v="1"/>
    <x v="3"/>
    <x v="3"/>
    <x v="40"/>
    <x v="2"/>
    <x v="0"/>
  </r>
  <r>
    <n v="23668"/>
    <x v="0"/>
    <x v="0"/>
    <n v="40000"/>
    <n v="4"/>
    <x v="2"/>
    <s v="Professional"/>
    <s v="Yes"/>
    <n v="2"/>
    <x v="2"/>
    <x v="3"/>
    <x v="14"/>
    <x v="1"/>
    <x v="1"/>
  </r>
  <r>
    <n v="27441"/>
    <x v="0"/>
    <x v="1"/>
    <n v="60000"/>
    <n v="3"/>
    <x v="2"/>
    <s v="Professional"/>
    <s v="No"/>
    <n v="2"/>
    <x v="1"/>
    <x v="3"/>
    <x v="39"/>
    <x v="0"/>
    <x v="0"/>
  </r>
  <r>
    <n v="27261"/>
    <x v="0"/>
    <x v="1"/>
    <n v="40000"/>
    <n v="1"/>
    <x v="0"/>
    <s v="Skilled Manual"/>
    <s v="No"/>
    <n v="1"/>
    <x v="0"/>
    <x v="3"/>
    <x v="4"/>
    <x v="0"/>
    <x v="1"/>
  </r>
  <r>
    <n v="18649"/>
    <x v="1"/>
    <x v="1"/>
    <n v="30000"/>
    <n v="1"/>
    <x v="2"/>
    <s v="Clerical"/>
    <s v="Yes"/>
    <n v="2"/>
    <x v="3"/>
    <x v="3"/>
    <x v="36"/>
    <x v="0"/>
    <x v="1"/>
  </r>
  <r>
    <n v="21714"/>
    <x v="1"/>
    <x v="0"/>
    <n v="80000"/>
    <n v="5"/>
    <x v="4"/>
    <s v="Skilled Manual"/>
    <s v="No"/>
    <n v="0"/>
    <x v="0"/>
    <x v="3"/>
    <x v="15"/>
    <x v="0"/>
    <x v="0"/>
  </r>
  <r>
    <n v="23217"/>
    <x v="1"/>
    <x v="0"/>
    <n v="60000"/>
    <n v="3"/>
    <x v="4"/>
    <s v="Professional"/>
    <s v="Yes"/>
    <n v="0"/>
    <x v="1"/>
    <x v="3"/>
    <x v="1"/>
    <x v="0"/>
    <x v="1"/>
  </r>
  <r>
    <n v="23797"/>
    <x v="1"/>
    <x v="1"/>
    <n v="20000"/>
    <n v="3"/>
    <x v="3"/>
    <s v="Clerical"/>
    <s v="No"/>
    <n v="2"/>
    <x v="0"/>
    <x v="3"/>
    <x v="5"/>
    <x v="0"/>
    <x v="0"/>
  </r>
  <r>
    <n v="13216"/>
    <x v="0"/>
    <x v="0"/>
    <n v="60000"/>
    <n v="5"/>
    <x v="0"/>
    <s v="Management"/>
    <s v="Yes"/>
    <n v="3"/>
    <x v="4"/>
    <x v="3"/>
    <x v="14"/>
    <x v="1"/>
    <x v="0"/>
  </r>
  <r>
    <n v="20657"/>
    <x v="1"/>
    <x v="1"/>
    <n v="50000"/>
    <n v="2"/>
    <x v="0"/>
    <s v="Skilled Manual"/>
    <s v="Yes"/>
    <n v="0"/>
    <x v="1"/>
    <x v="3"/>
    <x v="34"/>
    <x v="0"/>
    <x v="1"/>
  </r>
  <r>
    <n v="12882"/>
    <x v="0"/>
    <x v="1"/>
    <n v="50000"/>
    <n v="1"/>
    <x v="4"/>
    <s v="Skilled Manual"/>
    <s v="Yes"/>
    <n v="0"/>
    <x v="0"/>
    <x v="3"/>
    <x v="6"/>
    <x v="0"/>
    <x v="1"/>
  </r>
  <r>
    <n v="25908"/>
    <x v="0"/>
    <x v="0"/>
    <n v="60000"/>
    <n v="0"/>
    <x v="1"/>
    <s v="Skilled Manual"/>
    <s v="No"/>
    <n v="1"/>
    <x v="3"/>
    <x v="3"/>
    <x v="40"/>
    <x v="2"/>
    <x v="0"/>
  </r>
  <r>
    <n v="16753"/>
    <x v="1"/>
    <x v="0"/>
    <n v="70000"/>
    <n v="0"/>
    <x v="1"/>
    <s v="Skilled Manual"/>
    <s v="Yes"/>
    <n v="2"/>
    <x v="2"/>
    <x v="3"/>
    <x v="17"/>
    <x v="0"/>
    <x v="1"/>
  </r>
  <r>
    <n v="14608"/>
    <x v="0"/>
    <x v="1"/>
    <n v="50000"/>
    <n v="4"/>
    <x v="0"/>
    <s v="Skilled Manual"/>
    <s v="Yes"/>
    <n v="3"/>
    <x v="4"/>
    <x v="3"/>
    <x v="0"/>
    <x v="0"/>
    <x v="0"/>
  </r>
  <r>
    <n v="24979"/>
    <x v="0"/>
    <x v="0"/>
    <n v="60000"/>
    <n v="2"/>
    <x v="1"/>
    <s v="Professional"/>
    <s v="Yes"/>
    <n v="2"/>
    <x v="1"/>
    <x v="3"/>
    <x v="42"/>
    <x v="1"/>
    <x v="1"/>
  </r>
  <r>
    <n v="13313"/>
    <x v="0"/>
    <x v="0"/>
    <n v="120000"/>
    <n v="1"/>
    <x v="2"/>
    <s v="Professional"/>
    <s v="No"/>
    <n v="4"/>
    <x v="1"/>
    <x v="3"/>
    <x v="12"/>
    <x v="0"/>
    <x v="0"/>
  </r>
  <r>
    <n v="18952"/>
    <x v="0"/>
    <x v="0"/>
    <n v="100000"/>
    <n v="4"/>
    <x v="0"/>
    <s v="Management"/>
    <s v="Yes"/>
    <n v="4"/>
    <x v="0"/>
    <x v="3"/>
    <x v="8"/>
    <x v="0"/>
    <x v="0"/>
  </r>
  <r>
    <n v="17699"/>
    <x v="0"/>
    <x v="1"/>
    <n v="60000"/>
    <n v="1"/>
    <x v="4"/>
    <s v="Skilled Manual"/>
    <s v="No"/>
    <n v="0"/>
    <x v="0"/>
    <x v="3"/>
    <x v="10"/>
    <x v="1"/>
    <x v="0"/>
  </r>
  <r>
    <n v="14657"/>
    <x v="0"/>
    <x v="1"/>
    <n v="80000"/>
    <n v="1"/>
    <x v="1"/>
    <s v="Skilled Manual"/>
    <s v="No"/>
    <n v="1"/>
    <x v="0"/>
    <x v="3"/>
    <x v="15"/>
    <x v="0"/>
    <x v="1"/>
  </r>
  <r>
    <n v="11540"/>
    <x v="1"/>
    <x v="1"/>
    <n v="60000"/>
    <n v="4"/>
    <x v="4"/>
    <s v="Skilled Manual"/>
    <s v="Yes"/>
    <n v="0"/>
    <x v="3"/>
    <x v="3"/>
    <x v="15"/>
    <x v="0"/>
    <x v="1"/>
  </r>
  <r>
    <n v="11783"/>
    <x v="0"/>
    <x v="0"/>
    <n v="60000"/>
    <n v="1"/>
    <x v="4"/>
    <s v="Skilled Manual"/>
    <s v="Yes"/>
    <n v="0"/>
    <x v="0"/>
    <x v="3"/>
    <x v="17"/>
    <x v="0"/>
    <x v="0"/>
  </r>
  <r>
    <n v="14602"/>
    <x v="0"/>
    <x v="0"/>
    <n v="80000"/>
    <n v="3"/>
    <x v="4"/>
    <s v="Professional"/>
    <s v="Yes"/>
    <n v="0"/>
    <x v="0"/>
    <x v="3"/>
    <x v="4"/>
    <x v="0"/>
    <x v="1"/>
  </r>
  <r>
    <n v="29030"/>
    <x v="0"/>
    <x v="1"/>
    <n v="70000"/>
    <n v="2"/>
    <x v="3"/>
    <s v="Skilled Manual"/>
    <s v="Yes"/>
    <n v="2"/>
    <x v="4"/>
    <x v="3"/>
    <x v="9"/>
    <x v="0"/>
    <x v="0"/>
  </r>
  <r>
    <n v="26490"/>
    <x v="1"/>
    <x v="1"/>
    <n v="70000"/>
    <n v="2"/>
    <x v="0"/>
    <s v="Management"/>
    <s v="No"/>
    <n v="1"/>
    <x v="1"/>
    <x v="3"/>
    <x v="14"/>
    <x v="1"/>
    <x v="1"/>
  </r>
  <r>
    <n v="13151"/>
    <x v="1"/>
    <x v="1"/>
    <n v="40000"/>
    <n v="0"/>
    <x v="2"/>
    <s v="Skilled Manual"/>
    <s v="Yes"/>
    <n v="2"/>
    <x v="2"/>
    <x v="3"/>
    <x v="40"/>
    <x v="2"/>
    <x v="0"/>
  </r>
  <r>
    <n v="17260"/>
    <x v="0"/>
    <x v="1"/>
    <n v="90000"/>
    <n v="5"/>
    <x v="1"/>
    <s v="Professional"/>
    <s v="Yes"/>
    <n v="3"/>
    <x v="0"/>
    <x v="3"/>
    <x v="3"/>
    <x v="0"/>
    <x v="0"/>
  </r>
  <r>
    <n v="15372"/>
    <x v="0"/>
    <x v="1"/>
    <n v="80000"/>
    <n v="3"/>
    <x v="1"/>
    <s v="Professional"/>
    <s v="No"/>
    <n v="2"/>
    <x v="1"/>
    <x v="3"/>
    <x v="5"/>
    <x v="0"/>
    <x v="1"/>
  </r>
  <r>
    <n v="18105"/>
    <x v="0"/>
    <x v="0"/>
    <n v="60000"/>
    <n v="2"/>
    <x v="1"/>
    <s v="Professional"/>
    <s v="Yes"/>
    <n v="1"/>
    <x v="4"/>
    <x v="3"/>
    <x v="10"/>
    <x v="1"/>
    <x v="0"/>
  </r>
  <r>
    <n v="19660"/>
    <x v="0"/>
    <x v="1"/>
    <n v="80000"/>
    <n v="4"/>
    <x v="0"/>
    <s v="Management"/>
    <s v="Yes"/>
    <n v="0"/>
    <x v="0"/>
    <x v="3"/>
    <x v="1"/>
    <x v="0"/>
    <x v="0"/>
  </r>
  <r>
    <n v="16112"/>
    <x v="1"/>
    <x v="1"/>
    <n v="70000"/>
    <n v="4"/>
    <x v="0"/>
    <s v="Professional"/>
    <s v="Yes"/>
    <n v="2"/>
    <x v="1"/>
    <x v="3"/>
    <x v="1"/>
    <x v="0"/>
    <x v="1"/>
  </r>
  <r>
    <n v="20698"/>
    <x v="0"/>
    <x v="1"/>
    <n v="60000"/>
    <n v="4"/>
    <x v="0"/>
    <s v="Skilled Manual"/>
    <s v="Yes"/>
    <n v="3"/>
    <x v="2"/>
    <x v="3"/>
    <x v="0"/>
    <x v="0"/>
    <x v="0"/>
  </r>
  <r>
    <n v="20076"/>
    <x v="1"/>
    <x v="0"/>
    <n v="10000"/>
    <n v="2"/>
    <x v="2"/>
    <s v="Manual"/>
    <s v="Yes"/>
    <n v="2"/>
    <x v="3"/>
    <x v="3"/>
    <x v="39"/>
    <x v="0"/>
    <x v="1"/>
  </r>
  <r>
    <n v="24496"/>
    <x v="1"/>
    <x v="0"/>
    <n v="40000"/>
    <n v="0"/>
    <x v="2"/>
    <s v="Skilled Manual"/>
    <s v="No"/>
    <n v="2"/>
    <x v="0"/>
    <x v="3"/>
    <x v="26"/>
    <x v="2"/>
    <x v="1"/>
  </r>
  <r>
    <n v="15468"/>
    <x v="0"/>
    <x v="0"/>
    <n v="50000"/>
    <n v="1"/>
    <x v="0"/>
    <s v="Skilled Manual"/>
    <s v="Yes"/>
    <n v="1"/>
    <x v="0"/>
    <x v="3"/>
    <x v="11"/>
    <x v="0"/>
    <x v="0"/>
  </r>
  <r>
    <n v="28031"/>
    <x v="1"/>
    <x v="0"/>
    <n v="70000"/>
    <n v="2"/>
    <x v="0"/>
    <s v="Management"/>
    <s v="No"/>
    <n v="1"/>
    <x v="1"/>
    <x v="3"/>
    <x v="14"/>
    <x v="1"/>
    <x v="1"/>
  </r>
  <r>
    <n v="26270"/>
    <x v="1"/>
    <x v="0"/>
    <n v="20000"/>
    <n v="2"/>
    <x v="3"/>
    <s v="Clerical"/>
    <s v="Yes"/>
    <n v="2"/>
    <x v="3"/>
    <x v="3"/>
    <x v="38"/>
    <x v="0"/>
    <x v="0"/>
  </r>
  <r>
    <n v="22221"/>
    <x v="0"/>
    <x v="1"/>
    <n v="60000"/>
    <n v="2"/>
    <x v="2"/>
    <s v="Professional"/>
    <s v="No"/>
    <n v="2"/>
    <x v="3"/>
    <x v="3"/>
    <x v="28"/>
    <x v="0"/>
    <x v="1"/>
  </r>
  <r>
    <n v="28228"/>
    <x v="1"/>
    <x v="0"/>
    <n v="80000"/>
    <n v="2"/>
    <x v="3"/>
    <s v="Skilled Manual"/>
    <s v="No"/>
    <n v="2"/>
    <x v="3"/>
    <x v="3"/>
    <x v="5"/>
    <x v="0"/>
    <x v="0"/>
  </r>
  <r>
    <n v="18363"/>
    <x v="0"/>
    <x v="1"/>
    <n v="40000"/>
    <n v="0"/>
    <x v="2"/>
    <s v="Skilled Manual"/>
    <s v="Yes"/>
    <n v="2"/>
    <x v="2"/>
    <x v="3"/>
    <x v="26"/>
    <x v="2"/>
    <x v="1"/>
  </r>
  <r>
    <n v="23256"/>
    <x v="1"/>
    <x v="1"/>
    <n v="30000"/>
    <n v="1"/>
    <x v="2"/>
    <s v="Clerical"/>
    <s v="No"/>
    <n v="1"/>
    <x v="2"/>
    <x v="3"/>
    <x v="31"/>
    <x v="0"/>
    <x v="0"/>
  </r>
  <r>
    <n v="12768"/>
    <x v="0"/>
    <x v="1"/>
    <n v="30000"/>
    <n v="1"/>
    <x v="2"/>
    <s v="Clerical"/>
    <s v="Yes"/>
    <n v="1"/>
    <x v="1"/>
    <x v="3"/>
    <x v="31"/>
    <x v="0"/>
    <x v="1"/>
  </r>
  <r>
    <n v="20361"/>
    <x v="0"/>
    <x v="1"/>
    <n v="50000"/>
    <n v="2"/>
    <x v="4"/>
    <s v="Management"/>
    <s v="Yes"/>
    <n v="2"/>
    <x v="2"/>
    <x v="3"/>
    <x v="45"/>
    <x v="1"/>
    <x v="0"/>
  </r>
  <r>
    <n v="21306"/>
    <x v="1"/>
    <x v="1"/>
    <n v="60000"/>
    <n v="2"/>
    <x v="2"/>
    <s v="Professional"/>
    <s v="Yes"/>
    <n v="2"/>
    <x v="2"/>
    <x v="3"/>
    <x v="36"/>
    <x v="0"/>
    <x v="0"/>
  </r>
  <r>
    <n v="13382"/>
    <x v="0"/>
    <x v="1"/>
    <n v="70000"/>
    <n v="5"/>
    <x v="1"/>
    <s v="Professional"/>
    <s v="Yes"/>
    <n v="2"/>
    <x v="3"/>
    <x v="3"/>
    <x v="42"/>
    <x v="1"/>
    <x v="1"/>
  </r>
  <r>
    <n v="20310"/>
    <x v="1"/>
    <x v="1"/>
    <n v="60000"/>
    <n v="0"/>
    <x v="1"/>
    <s v="Skilled Manual"/>
    <s v="Yes"/>
    <n v="1"/>
    <x v="2"/>
    <x v="3"/>
    <x v="40"/>
    <x v="2"/>
    <x v="1"/>
  </r>
  <r>
    <n v="22971"/>
    <x v="1"/>
    <x v="0"/>
    <n v="30000"/>
    <n v="0"/>
    <x v="2"/>
    <s v="Skilled Manual"/>
    <s v="No"/>
    <n v="2"/>
    <x v="0"/>
    <x v="3"/>
    <x v="37"/>
    <x v="2"/>
    <x v="1"/>
  </r>
  <r>
    <n v="15287"/>
    <x v="1"/>
    <x v="0"/>
    <n v="50000"/>
    <n v="1"/>
    <x v="4"/>
    <s v="Skilled Manual"/>
    <s v="Yes"/>
    <n v="0"/>
    <x v="3"/>
    <x v="3"/>
    <x v="6"/>
    <x v="0"/>
    <x v="1"/>
  </r>
  <r>
    <n v="15532"/>
    <x v="1"/>
    <x v="1"/>
    <n v="60000"/>
    <n v="4"/>
    <x v="0"/>
    <s v="Professional"/>
    <s v="Yes"/>
    <n v="2"/>
    <x v="1"/>
    <x v="3"/>
    <x v="1"/>
    <x v="0"/>
    <x v="1"/>
  </r>
  <r>
    <n v="11255"/>
    <x v="0"/>
    <x v="1"/>
    <n v="70000"/>
    <n v="4"/>
    <x v="4"/>
    <s v="Management"/>
    <s v="Yes"/>
    <n v="2"/>
    <x v="2"/>
    <x v="3"/>
    <x v="49"/>
    <x v="1"/>
    <x v="0"/>
  </r>
  <r>
    <n v="28090"/>
    <x v="0"/>
    <x v="1"/>
    <n v="40000"/>
    <n v="0"/>
    <x v="1"/>
    <s v="Skilled Manual"/>
    <s v="Yes"/>
    <n v="1"/>
    <x v="2"/>
    <x v="3"/>
    <x v="40"/>
    <x v="2"/>
    <x v="0"/>
  </r>
  <r>
    <n v="15255"/>
    <x v="0"/>
    <x v="1"/>
    <n v="40000"/>
    <n v="0"/>
    <x v="2"/>
    <s v="Skilled Manual"/>
    <s v="Yes"/>
    <n v="2"/>
    <x v="2"/>
    <x v="3"/>
    <x v="26"/>
    <x v="2"/>
    <x v="1"/>
  </r>
  <r>
    <n v="13154"/>
    <x v="0"/>
    <x v="1"/>
    <n v="40000"/>
    <n v="0"/>
    <x v="2"/>
    <s v="Skilled Manual"/>
    <s v="No"/>
    <n v="2"/>
    <x v="0"/>
    <x v="3"/>
    <x v="40"/>
    <x v="2"/>
    <x v="1"/>
  </r>
  <r>
    <n v="26778"/>
    <x v="1"/>
    <x v="0"/>
    <n v="40000"/>
    <n v="0"/>
    <x v="2"/>
    <s v="Skilled Manual"/>
    <s v="Yes"/>
    <n v="2"/>
    <x v="2"/>
    <x v="3"/>
    <x v="23"/>
    <x v="0"/>
    <x v="0"/>
  </r>
  <r>
    <n v="23248"/>
    <x v="0"/>
    <x v="0"/>
    <n v="10000"/>
    <n v="2"/>
    <x v="2"/>
    <s v="Manual"/>
    <s v="Yes"/>
    <n v="2"/>
    <x v="3"/>
    <x v="3"/>
    <x v="39"/>
    <x v="0"/>
    <x v="0"/>
  </r>
  <r>
    <n v="21417"/>
    <x v="1"/>
    <x v="0"/>
    <n v="60000"/>
    <n v="0"/>
    <x v="1"/>
    <s v="Professional"/>
    <s v="No"/>
    <n v="2"/>
    <x v="3"/>
    <x v="3"/>
    <x v="21"/>
    <x v="0"/>
    <x v="1"/>
  </r>
  <r>
    <n v="17668"/>
    <x v="1"/>
    <x v="1"/>
    <n v="30000"/>
    <n v="2"/>
    <x v="2"/>
    <s v="Skilled Manual"/>
    <s v="Yes"/>
    <n v="2"/>
    <x v="3"/>
    <x v="3"/>
    <x v="5"/>
    <x v="0"/>
    <x v="1"/>
  </r>
  <r>
    <n v="27994"/>
    <x v="0"/>
    <x v="0"/>
    <n v="40000"/>
    <n v="4"/>
    <x v="2"/>
    <s v="Professional"/>
    <s v="Yes"/>
    <n v="2"/>
    <x v="2"/>
    <x v="3"/>
    <x v="45"/>
    <x v="1"/>
    <x v="0"/>
  </r>
  <r>
    <n v="20376"/>
    <x v="1"/>
    <x v="0"/>
    <n v="70000"/>
    <n v="3"/>
    <x v="4"/>
    <s v="Management"/>
    <s v="Yes"/>
    <n v="2"/>
    <x v="2"/>
    <x v="3"/>
    <x v="31"/>
    <x v="0"/>
    <x v="1"/>
  </r>
  <r>
    <n v="25954"/>
    <x v="0"/>
    <x v="1"/>
    <n v="60000"/>
    <n v="0"/>
    <x v="1"/>
    <s v="Skilled Manual"/>
    <s v="No"/>
    <n v="2"/>
    <x v="3"/>
    <x v="3"/>
    <x v="23"/>
    <x v="0"/>
    <x v="0"/>
  </r>
  <r>
    <n v="15749"/>
    <x v="1"/>
    <x v="0"/>
    <n v="70000"/>
    <n v="4"/>
    <x v="0"/>
    <s v="Management"/>
    <s v="Yes"/>
    <n v="2"/>
    <x v="4"/>
    <x v="3"/>
    <x v="33"/>
    <x v="1"/>
    <x v="0"/>
  </r>
  <r>
    <n v="25899"/>
    <x v="0"/>
    <x v="0"/>
    <n v="70000"/>
    <n v="2"/>
    <x v="2"/>
    <s v="Professional"/>
    <s v="Yes"/>
    <n v="2"/>
    <x v="4"/>
    <x v="3"/>
    <x v="39"/>
    <x v="0"/>
    <x v="0"/>
  </r>
  <r>
    <n v="13351"/>
    <x v="1"/>
    <x v="0"/>
    <n v="70000"/>
    <n v="4"/>
    <x v="0"/>
    <s v="Management"/>
    <s v="Yes"/>
    <n v="2"/>
    <x v="3"/>
    <x v="3"/>
    <x v="24"/>
    <x v="1"/>
    <x v="1"/>
  </r>
  <r>
    <n v="23333"/>
    <x v="0"/>
    <x v="1"/>
    <n v="40000"/>
    <n v="0"/>
    <x v="1"/>
    <s v="Skilled Manual"/>
    <s v="No"/>
    <n v="2"/>
    <x v="3"/>
    <x v="3"/>
    <x v="25"/>
    <x v="2"/>
    <x v="0"/>
  </r>
  <r>
    <n v="21660"/>
    <x v="0"/>
    <x v="0"/>
    <n v="60000"/>
    <n v="3"/>
    <x v="4"/>
    <s v="Professional"/>
    <s v="Yes"/>
    <n v="0"/>
    <x v="1"/>
    <x v="3"/>
    <x v="1"/>
    <x v="0"/>
    <x v="1"/>
  </r>
  <r>
    <n v="17012"/>
    <x v="0"/>
    <x v="0"/>
    <n v="60000"/>
    <n v="3"/>
    <x v="4"/>
    <s v="Professional"/>
    <s v="Yes"/>
    <n v="0"/>
    <x v="1"/>
    <x v="3"/>
    <x v="0"/>
    <x v="0"/>
    <x v="1"/>
  </r>
  <r>
    <n v="24514"/>
    <x v="0"/>
    <x v="1"/>
    <n v="40000"/>
    <n v="0"/>
    <x v="1"/>
    <s v="Skilled Manual"/>
    <s v="Yes"/>
    <n v="1"/>
    <x v="2"/>
    <x v="3"/>
    <x v="25"/>
    <x v="2"/>
    <x v="0"/>
  </r>
  <r>
    <n v="27505"/>
    <x v="1"/>
    <x v="0"/>
    <n v="40000"/>
    <n v="0"/>
    <x v="2"/>
    <s v="Skilled Manual"/>
    <s v="Yes"/>
    <n v="2"/>
    <x v="2"/>
    <x v="3"/>
    <x v="25"/>
    <x v="2"/>
    <x v="0"/>
  </r>
  <r>
    <n v="29243"/>
    <x v="1"/>
    <x v="1"/>
    <n v="110000"/>
    <n v="1"/>
    <x v="0"/>
    <s v="Management"/>
    <s v="Yes"/>
    <n v="1"/>
    <x v="2"/>
    <x v="3"/>
    <x v="1"/>
    <x v="0"/>
    <x v="0"/>
  </r>
  <r>
    <n v="26582"/>
    <x v="0"/>
    <x v="1"/>
    <n v="60000"/>
    <n v="0"/>
    <x v="1"/>
    <s v="Skilled Manual"/>
    <s v="Yes"/>
    <n v="2"/>
    <x v="2"/>
    <x v="3"/>
    <x v="6"/>
    <x v="0"/>
    <x v="1"/>
  </r>
  <r>
    <n v="14271"/>
    <x v="0"/>
    <x v="1"/>
    <n v="30000"/>
    <n v="0"/>
    <x v="2"/>
    <s v="Skilled Manual"/>
    <s v="Yes"/>
    <n v="2"/>
    <x v="2"/>
    <x v="3"/>
    <x v="21"/>
    <x v="0"/>
    <x v="0"/>
  </r>
  <r>
    <n v="23041"/>
    <x v="1"/>
    <x v="0"/>
    <n v="70000"/>
    <n v="4"/>
    <x v="2"/>
    <s v="Professional"/>
    <s v="Yes"/>
    <n v="0"/>
    <x v="2"/>
    <x v="3"/>
    <x v="5"/>
    <x v="0"/>
    <x v="1"/>
  </r>
  <r>
    <n v="29048"/>
    <x v="1"/>
    <x v="1"/>
    <n v="110000"/>
    <n v="2"/>
    <x v="0"/>
    <s v="Management"/>
    <s v="No"/>
    <n v="3"/>
    <x v="0"/>
    <x v="3"/>
    <x v="34"/>
    <x v="0"/>
    <x v="1"/>
  </r>
  <r>
    <n v="24433"/>
    <x v="0"/>
    <x v="1"/>
    <n v="70000"/>
    <n v="3"/>
    <x v="2"/>
    <s v="Professional"/>
    <s v="No"/>
    <n v="1"/>
    <x v="3"/>
    <x v="3"/>
    <x v="31"/>
    <x v="0"/>
    <x v="1"/>
  </r>
  <r>
    <n v="15501"/>
    <x v="0"/>
    <x v="1"/>
    <n v="70000"/>
    <n v="4"/>
    <x v="4"/>
    <s v="Professional"/>
    <s v="Yes"/>
    <n v="0"/>
    <x v="1"/>
    <x v="3"/>
    <x v="4"/>
    <x v="0"/>
    <x v="1"/>
  </r>
  <r>
    <n v="13911"/>
    <x v="1"/>
    <x v="0"/>
    <n v="80000"/>
    <n v="3"/>
    <x v="0"/>
    <s v="Skilled Manual"/>
    <s v="Yes"/>
    <n v="2"/>
    <x v="1"/>
    <x v="3"/>
    <x v="3"/>
    <x v="0"/>
    <x v="1"/>
  </r>
  <r>
    <n v="20421"/>
    <x v="1"/>
    <x v="0"/>
    <n v="40000"/>
    <n v="0"/>
    <x v="3"/>
    <s v="Clerical"/>
    <s v="Yes"/>
    <n v="2"/>
    <x v="2"/>
    <x v="3"/>
    <x v="22"/>
    <x v="2"/>
    <x v="0"/>
  </r>
  <r>
    <n v="16009"/>
    <x v="1"/>
    <x v="1"/>
    <n v="170000"/>
    <n v="1"/>
    <x v="4"/>
    <s v="Management"/>
    <s v="No"/>
    <n v="4"/>
    <x v="0"/>
    <x v="3"/>
    <x v="29"/>
    <x v="1"/>
    <x v="0"/>
  </r>
  <r>
    <n v="18411"/>
    <x v="0"/>
    <x v="1"/>
    <n v="60000"/>
    <n v="2"/>
    <x v="2"/>
    <s v="Professional"/>
    <s v="No"/>
    <n v="2"/>
    <x v="2"/>
    <x v="3"/>
    <x v="36"/>
    <x v="0"/>
    <x v="0"/>
  </r>
  <r>
    <n v="19163"/>
    <x v="0"/>
    <x v="0"/>
    <n v="70000"/>
    <n v="4"/>
    <x v="0"/>
    <s v="Professional"/>
    <s v="Yes"/>
    <n v="2"/>
    <x v="0"/>
    <x v="3"/>
    <x v="1"/>
    <x v="0"/>
    <x v="1"/>
  </r>
  <r>
    <n v="18572"/>
    <x v="0"/>
    <x v="0"/>
    <n v="60000"/>
    <n v="0"/>
    <x v="4"/>
    <s v="Professional"/>
    <s v="Yes"/>
    <n v="0"/>
    <x v="0"/>
    <x v="3"/>
    <x v="32"/>
    <x v="0"/>
    <x v="0"/>
  </r>
  <r>
    <n v="27540"/>
    <x v="1"/>
    <x v="0"/>
    <n v="70000"/>
    <n v="0"/>
    <x v="0"/>
    <s v="Professional"/>
    <s v="No"/>
    <n v="1"/>
    <x v="0"/>
    <x v="3"/>
    <x v="34"/>
    <x v="0"/>
    <x v="1"/>
  </r>
  <r>
    <n v="19889"/>
    <x v="1"/>
    <x v="0"/>
    <n v="70000"/>
    <n v="2"/>
    <x v="3"/>
    <s v="Skilled Manual"/>
    <s v="No"/>
    <n v="2"/>
    <x v="1"/>
    <x v="3"/>
    <x v="9"/>
    <x v="0"/>
    <x v="1"/>
  </r>
  <r>
    <n v="12922"/>
    <x v="1"/>
    <x v="0"/>
    <n v="60000"/>
    <n v="3"/>
    <x v="0"/>
    <s v="Skilled Manual"/>
    <s v="Yes"/>
    <n v="0"/>
    <x v="1"/>
    <x v="3"/>
    <x v="8"/>
    <x v="0"/>
    <x v="1"/>
  </r>
  <r>
    <n v="18891"/>
    <x v="0"/>
    <x v="0"/>
    <n v="40000"/>
    <n v="0"/>
    <x v="1"/>
    <s v="Skilled Manual"/>
    <s v="Yes"/>
    <n v="2"/>
    <x v="2"/>
    <x v="3"/>
    <x v="26"/>
    <x v="2"/>
    <x v="0"/>
  </r>
  <r>
    <n v="16773"/>
    <x v="0"/>
    <x v="1"/>
    <n v="60000"/>
    <n v="1"/>
    <x v="4"/>
    <s v="Skilled Manual"/>
    <s v="Yes"/>
    <n v="0"/>
    <x v="0"/>
    <x v="3"/>
    <x v="6"/>
    <x v="0"/>
    <x v="0"/>
  </r>
  <r>
    <n v="19143"/>
    <x v="1"/>
    <x v="0"/>
    <n v="80000"/>
    <n v="3"/>
    <x v="0"/>
    <s v="Skilled Manual"/>
    <s v="Yes"/>
    <n v="2"/>
    <x v="1"/>
    <x v="3"/>
    <x v="3"/>
    <x v="0"/>
    <x v="1"/>
  </r>
  <r>
    <n v="23882"/>
    <x v="1"/>
    <x v="0"/>
    <n v="80000"/>
    <n v="3"/>
    <x v="4"/>
    <s v="Professional"/>
    <s v="Yes"/>
    <n v="0"/>
    <x v="0"/>
    <x v="3"/>
    <x v="34"/>
    <x v="0"/>
    <x v="1"/>
  </r>
  <r>
    <n v="11233"/>
    <x v="0"/>
    <x v="1"/>
    <n v="70000"/>
    <n v="4"/>
    <x v="1"/>
    <s v="Professional"/>
    <s v="Yes"/>
    <n v="2"/>
    <x v="4"/>
    <x v="3"/>
    <x v="39"/>
    <x v="0"/>
    <x v="0"/>
  </r>
  <r>
    <n v="12056"/>
    <x v="0"/>
    <x v="1"/>
    <n v="120000"/>
    <n v="2"/>
    <x v="4"/>
    <s v="Management"/>
    <s v="Yes"/>
    <n v="3"/>
    <x v="2"/>
    <x v="3"/>
    <x v="46"/>
    <x v="1"/>
    <x v="0"/>
  </r>
  <r>
    <n v="15555"/>
    <x v="0"/>
    <x v="0"/>
    <n v="60000"/>
    <n v="1"/>
    <x v="1"/>
    <s v="Skilled Manual"/>
    <s v="Yes"/>
    <n v="1"/>
    <x v="1"/>
    <x v="3"/>
    <x v="12"/>
    <x v="0"/>
    <x v="1"/>
  </r>
  <r>
    <n v="18423"/>
    <x v="1"/>
    <x v="1"/>
    <n v="80000"/>
    <n v="2"/>
    <x v="3"/>
    <s v="Skilled Manual"/>
    <s v="No"/>
    <n v="2"/>
    <x v="3"/>
    <x v="3"/>
    <x v="31"/>
    <x v="0"/>
    <x v="0"/>
  </r>
  <r>
    <n v="22743"/>
    <x v="0"/>
    <x v="0"/>
    <n v="40000"/>
    <n v="5"/>
    <x v="2"/>
    <s v="Professional"/>
    <s v="Yes"/>
    <n v="2"/>
    <x v="4"/>
    <x v="3"/>
    <x v="2"/>
    <x v="1"/>
    <x v="0"/>
  </r>
  <r>
    <n v="25343"/>
    <x v="1"/>
    <x v="0"/>
    <n v="20000"/>
    <n v="3"/>
    <x v="3"/>
    <s v="Clerical"/>
    <s v="Yes"/>
    <n v="2"/>
    <x v="3"/>
    <x v="3"/>
    <x v="5"/>
    <x v="0"/>
    <x v="0"/>
  </r>
  <r>
    <n v="13390"/>
    <x v="0"/>
    <x v="0"/>
    <n v="70000"/>
    <n v="4"/>
    <x v="1"/>
    <s v="Professional"/>
    <s v="No"/>
    <n v="1"/>
    <x v="3"/>
    <x v="3"/>
    <x v="16"/>
    <x v="1"/>
    <x v="0"/>
  </r>
  <r>
    <n v="17482"/>
    <x v="1"/>
    <x v="0"/>
    <n v="40000"/>
    <n v="0"/>
    <x v="3"/>
    <s v="Clerical"/>
    <s v="Yes"/>
    <n v="2"/>
    <x v="2"/>
    <x v="3"/>
    <x v="19"/>
    <x v="2"/>
    <x v="0"/>
  </r>
  <r>
    <n v="13176"/>
    <x v="1"/>
    <x v="1"/>
    <n v="130000"/>
    <n v="0"/>
    <x v="4"/>
    <s v="Management"/>
    <s v="No"/>
    <n v="2"/>
    <x v="0"/>
    <x v="3"/>
    <x v="13"/>
    <x v="0"/>
    <x v="1"/>
  </r>
  <r>
    <n v="20504"/>
    <x v="0"/>
    <x v="0"/>
    <n v="40000"/>
    <n v="5"/>
    <x v="2"/>
    <s v="Professional"/>
    <s v="No"/>
    <n v="2"/>
    <x v="1"/>
    <x v="3"/>
    <x v="2"/>
    <x v="1"/>
    <x v="0"/>
  </r>
  <r>
    <n v="12205"/>
    <x v="1"/>
    <x v="0"/>
    <n v="130000"/>
    <n v="2"/>
    <x v="0"/>
    <s v="Management"/>
    <s v="No"/>
    <n v="4"/>
    <x v="0"/>
    <x v="3"/>
    <x v="41"/>
    <x v="1"/>
    <x v="0"/>
  </r>
  <r>
    <n v="16751"/>
    <x v="0"/>
    <x v="1"/>
    <n v="60000"/>
    <n v="0"/>
    <x v="1"/>
    <s v="Skilled Manual"/>
    <s v="Yes"/>
    <n v="1"/>
    <x v="2"/>
    <x v="3"/>
    <x v="21"/>
    <x v="0"/>
    <x v="1"/>
  </r>
  <r>
    <n v="21613"/>
    <x v="1"/>
    <x v="1"/>
    <n v="50000"/>
    <n v="2"/>
    <x v="0"/>
    <s v="Skilled Manual"/>
    <s v="No"/>
    <n v="1"/>
    <x v="0"/>
    <x v="3"/>
    <x v="32"/>
    <x v="0"/>
    <x v="1"/>
  </r>
  <r>
    <n v="24801"/>
    <x v="1"/>
    <x v="1"/>
    <n v="60000"/>
    <n v="1"/>
    <x v="4"/>
    <s v="Professional"/>
    <s v="Yes"/>
    <n v="0"/>
    <x v="1"/>
    <x v="3"/>
    <x v="11"/>
    <x v="0"/>
    <x v="1"/>
  </r>
  <r>
    <n v="17519"/>
    <x v="0"/>
    <x v="0"/>
    <n v="60000"/>
    <n v="0"/>
    <x v="1"/>
    <s v="Professional"/>
    <s v="Yes"/>
    <n v="2"/>
    <x v="2"/>
    <x v="3"/>
    <x v="21"/>
    <x v="0"/>
    <x v="0"/>
  </r>
  <r>
    <n v="18347"/>
    <x v="1"/>
    <x v="0"/>
    <n v="30000"/>
    <n v="0"/>
    <x v="1"/>
    <s v="Skilled Manual"/>
    <s v="No"/>
    <n v="1"/>
    <x v="3"/>
    <x v="3"/>
    <x v="23"/>
    <x v="0"/>
    <x v="0"/>
  </r>
  <r>
    <n v="29052"/>
    <x v="1"/>
    <x v="1"/>
    <n v="40000"/>
    <n v="0"/>
    <x v="1"/>
    <s v="Skilled Manual"/>
    <s v="Yes"/>
    <n v="1"/>
    <x v="2"/>
    <x v="3"/>
    <x v="40"/>
    <x v="2"/>
    <x v="0"/>
  </r>
  <r>
    <n v="11745"/>
    <x v="0"/>
    <x v="0"/>
    <n v="60000"/>
    <n v="1"/>
    <x v="0"/>
    <s v="Professional"/>
    <s v="Yes"/>
    <n v="1"/>
    <x v="0"/>
    <x v="3"/>
    <x v="15"/>
    <x v="0"/>
    <x v="1"/>
  </r>
  <r>
    <n v="19147"/>
    <x v="0"/>
    <x v="1"/>
    <n v="40000"/>
    <n v="0"/>
    <x v="0"/>
    <s v="Professional"/>
    <s v="No"/>
    <n v="1"/>
    <x v="0"/>
    <x v="3"/>
    <x v="0"/>
    <x v="0"/>
    <x v="0"/>
  </r>
  <r>
    <n v="19217"/>
    <x v="0"/>
    <x v="1"/>
    <n v="30000"/>
    <n v="2"/>
    <x v="2"/>
    <s v="Skilled Manual"/>
    <s v="Yes"/>
    <n v="2"/>
    <x v="3"/>
    <x v="3"/>
    <x v="38"/>
    <x v="0"/>
    <x v="0"/>
  </r>
  <r>
    <n v="15839"/>
    <x v="1"/>
    <x v="1"/>
    <n v="30000"/>
    <n v="0"/>
    <x v="1"/>
    <s v="Skilled Manual"/>
    <s v="Yes"/>
    <n v="1"/>
    <x v="2"/>
    <x v="3"/>
    <x v="21"/>
    <x v="0"/>
    <x v="0"/>
  </r>
  <r>
    <n v="13714"/>
    <x v="0"/>
    <x v="0"/>
    <n v="20000"/>
    <n v="2"/>
    <x v="2"/>
    <s v="Manual"/>
    <s v="No"/>
    <n v="2"/>
    <x v="3"/>
    <x v="3"/>
    <x v="39"/>
    <x v="0"/>
    <x v="1"/>
  </r>
  <r>
    <n v="22330"/>
    <x v="0"/>
    <x v="1"/>
    <n v="50000"/>
    <n v="0"/>
    <x v="4"/>
    <s v="Skilled Manual"/>
    <s v="Yes"/>
    <n v="0"/>
    <x v="3"/>
    <x v="3"/>
    <x v="21"/>
    <x v="0"/>
    <x v="1"/>
  </r>
  <r>
    <n v="18783"/>
    <x v="1"/>
    <x v="1"/>
    <n v="80000"/>
    <n v="0"/>
    <x v="0"/>
    <s v="Management"/>
    <s v="No"/>
    <n v="1"/>
    <x v="0"/>
    <x v="3"/>
    <x v="13"/>
    <x v="0"/>
    <x v="1"/>
  </r>
  <r>
    <n v="25041"/>
    <x v="1"/>
    <x v="1"/>
    <n v="40000"/>
    <n v="0"/>
    <x v="2"/>
    <s v="Skilled Manual"/>
    <s v="Yes"/>
    <n v="2"/>
    <x v="2"/>
    <x v="3"/>
    <x v="23"/>
    <x v="0"/>
    <x v="0"/>
  </r>
  <r>
    <n v="22046"/>
    <x v="1"/>
    <x v="0"/>
    <n v="80000"/>
    <n v="0"/>
    <x v="0"/>
    <s v="Management"/>
    <s v="No"/>
    <n v="1"/>
    <x v="0"/>
    <x v="3"/>
    <x v="13"/>
    <x v="0"/>
    <x v="1"/>
  </r>
  <r>
    <n v="28052"/>
    <x v="0"/>
    <x v="1"/>
    <n v="60000"/>
    <n v="2"/>
    <x v="2"/>
    <s v="Professional"/>
    <s v="Yes"/>
    <n v="2"/>
    <x v="4"/>
    <x v="3"/>
    <x v="10"/>
    <x v="1"/>
    <x v="0"/>
  </r>
  <r>
    <n v="26693"/>
    <x v="0"/>
    <x v="1"/>
    <n v="70000"/>
    <n v="3"/>
    <x v="1"/>
    <s v="Professional"/>
    <s v="Yes"/>
    <n v="1"/>
    <x v="2"/>
    <x v="3"/>
    <x v="38"/>
    <x v="0"/>
    <x v="0"/>
  </r>
  <r>
    <n v="24955"/>
    <x v="1"/>
    <x v="1"/>
    <n v="30000"/>
    <n v="5"/>
    <x v="3"/>
    <s v="Skilled Manual"/>
    <s v="Yes"/>
    <n v="3"/>
    <x v="4"/>
    <x v="3"/>
    <x v="2"/>
    <x v="1"/>
    <x v="1"/>
  </r>
  <r>
    <n v="26065"/>
    <x v="1"/>
    <x v="0"/>
    <n v="110000"/>
    <n v="3"/>
    <x v="0"/>
    <s v="Management"/>
    <s v="No"/>
    <n v="4"/>
    <x v="3"/>
    <x v="3"/>
    <x v="0"/>
    <x v="0"/>
    <x v="0"/>
  </r>
  <r>
    <n v="13942"/>
    <x v="0"/>
    <x v="1"/>
    <n v="60000"/>
    <n v="1"/>
    <x v="1"/>
    <s v="Skilled Manual"/>
    <s v="Yes"/>
    <n v="1"/>
    <x v="0"/>
    <x v="3"/>
    <x v="30"/>
    <x v="0"/>
    <x v="0"/>
  </r>
  <r>
    <n v="11219"/>
    <x v="0"/>
    <x v="1"/>
    <n v="60000"/>
    <n v="2"/>
    <x v="2"/>
    <s v="Professional"/>
    <s v="Yes"/>
    <n v="2"/>
    <x v="4"/>
    <x v="3"/>
    <x v="10"/>
    <x v="1"/>
    <x v="0"/>
  </r>
  <r>
    <n v="22118"/>
    <x v="1"/>
    <x v="0"/>
    <n v="70000"/>
    <n v="3"/>
    <x v="4"/>
    <s v="Management"/>
    <s v="Yes"/>
    <n v="2"/>
    <x v="2"/>
    <x v="3"/>
    <x v="39"/>
    <x v="0"/>
    <x v="1"/>
  </r>
  <r>
    <n v="23197"/>
    <x v="0"/>
    <x v="1"/>
    <n v="50000"/>
    <n v="3"/>
    <x v="0"/>
    <s v="Skilled Manual"/>
    <s v="Yes"/>
    <n v="2"/>
    <x v="1"/>
    <x v="3"/>
    <x v="8"/>
    <x v="0"/>
    <x v="0"/>
  </r>
  <r>
    <n v="14883"/>
    <x v="0"/>
    <x v="0"/>
    <n v="30000"/>
    <n v="1"/>
    <x v="0"/>
    <s v="Skilled Manual"/>
    <s v="Yes"/>
    <n v="1"/>
    <x v="2"/>
    <x v="3"/>
    <x v="39"/>
    <x v="0"/>
    <x v="1"/>
  </r>
  <r>
    <n v="27279"/>
    <x v="1"/>
    <x v="0"/>
    <n v="70000"/>
    <n v="2"/>
    <x v="0"/>
    <s v="Skilled Manual"/>
    <s v="Yes"/>
    <n v="0"/>
    <x v="1"/>
    <x v="3"/>
    <x v="13"/>
    <x v="0"/>
    <x v="1"/>
  </r>
  <r>
    <n v="18322"/>
    <x v="1"/>
    <x v="1"/>
    <n v="30000"/>
    <n v="0"/>
    <x v="3"/>
    <s v="Clerical"/>
    <s v="No"/>
    <n v="2"/>
    <x v="0"/>
    <x v="3"/>
    <x v="22"/>
    <x v="2"/>
    <x v="0"/>
  </r>
  <r>
    <n v="15879"/>
    <x v="0"/>
    <x v="1"/>
    <n v="70000"/>
    <n v="5"/>
    <x v="0"/>
    <s v="Management"/>
    <s v="Yes"/>
    <n v="2"/>
    <x v="1"/>
    <x v="3"/>
    <x v="33"/>
    <x v="1"/>
    <x v="0"/>
  </r>
  <r>
    <n v="28278"/>
    <x v="0"/>
    <x v="1"/>
    <n v="50000"/>
    <n v="2"/>
    <x v="4"/>
    <s v="Management"/>
    <s v="Yes"/>
    <n v="2"/>
    <x v="2"/>
    <x v="3"/>
    <x v="51"/>
    <x v="1"/>
    <x v="0"/>
  </r>
  <r>
    <n v="24416"/>
    <x v="0"/>
    <x v="1"/>
    <n v="90000"/>
    <n v="4"/>
    <x v="2"/>
    <s v="Professional"/>
    <s v="Yes"/>
    <n v="2"/>
    <x v="3"/>
    <x v="3"/>
    <x v="12"/>
    <x v="0"/>
    <x v="0"/>
  </r>
  <r>
    <n v="28066"/>
    <x v="0"/>
    <x v="1"/>
    <n v="80000"/>
    <n v="2"/>
    <x v="4"/>
    <s v="Professional"/>
    <s v="Yes"/>
    <n v="0"/>
    <x v="0"/>
    <x v="3"/>
    <x v="34"/>
    <x v="0"/>
    <x v="1"/>
  </r>
  <r>
    <n v="11275"/>
    <x v="0"/>
    <x v="0"/>
    <n v="80000"/>
    <n v="4"/>
    <x v="4"/>
    <s v="Management"/>
    <s v="Yes"/>
    <n v="2"/>
    <x v="0"/>
    <x v="3"/>
    <x v="52"/>
    <x v="1"/>
    <x v="1"/>
  </r>
  <r>
    <n v="14872"/>
    <x v="0"/>
    <x v="1"/>
    <n v="30000"/>
    <n v="0"/>
    <x v="4"/>
    <s v="Skilled Manual"/>
    <s v="Yes"/>
    <n v="0"/>
    <x v="0"/>
    <x v="3"/>
    <x v="21"/>
    <x v="0"/>
    <x v="0"/>
  </r>
  <r>
    <n v="16151"/>
    <x v="0"/>
    <x v="0"/>
    <n v="60000"/>
    <n v="1"/>
    <x v="0"/>
    <s v="Professional"/>
    <s v="Yes"/>
    <n v="1"/>
    <x v="1"/>
    <x v="3"/>
    <x v="28"/>
    <x v="0"/>
    <x v="1"/>
  </r>
  <r>
    <n v="19731"/>
    <x v="0"/>
    <x v="1"/>
    <n v="80000"/>
    <n v="4"/>
    <x v="4"/>
    <s v="Management"/>
    <s v="Yes"/>
    <n v="2"/>
    <x v="2"/>
    <x v="3"/>
    <x v="35"/>
    <x v="1"/>
    <x v="0"/>
  </r>
  <r>
    <n v="23801"/>
    <x v="0"/>
    <x v="0"/>
    <n v="20000"/>
    <n v="2"/>
    <x v="3"/>
    <s v="Clerical"/>
    <s v="Yes"/>
    <n v="2"/>
    <x v="0"/>
    <x v="3"/>
    <x v="38"/>
    <x v="0"/>
    <x v="0"/>
  </r>
  <r>
    <n v="11807"/>
    <x v="0"/>
    <x v="1"/>
    <n v="70000"/>
    <n v="3"/>
    <x v="4"/>
    <s v="Professional"/>
    <s v="Yes"/>
    <n v="0"/>
    <x v="1"/>
    <x v="3"/>
    <x v="17"/>
    <x v="0"/>
    <x v="0"/>
  </r>
  <r>
    <n v="11622"/>
    <x v="0"/>
    <x v="1"/>
    <n v="50000"/>
    <n v="0"/>
    <x v="4"/>
    <s v="Skilled Manual"/>
    <s v="Yes"/>
    <n v="0"/>
    <x v="0"/>
    <x v="3"/>
    <x v="21"/>
    <x v="0"/>
    <x v="0"/>
  </r>
  <r>
    <n v="26597"/>
    <x v="1"/>
    <x v="0"/>
    <n v="60000"/>
    <n v="4"/>
    <x v="0"/>
    <s v="Skilled Manual"/>
    <s v="No"/>
    <n v="2"/>
    <x v="0"/>
    <x v="3"/>
    <x v="0"/>
    <x v="0"/>
    <x v="0"/>
  </r>
  <r>
    <n v="27074"/>
    <x v="0"/>
    <x v="0"/>
    <n v="70000"/>
    <n v="1"/>
    <x v="4"/>
    <s v="Skilled Manual"/>
    <s v="Yes"/>
    <n v="0"/>
    <x v="0"/>
    <x v="3"/>
    <x v="11"/>
    <x v="0"/>
    <x v="1"/>
  </r>
  <r>
    <n v="19228"/>
    <x v="0"/>
    <x v="0"/>
    <n v="40000"/>
    <n v="2"/>
    <x v="1"/>
    <s v="Clerical"/>
    <s v="Yes"/>
    <n v="1"/>
    <x v="0"/>
    <x v="3"/>
    <x v="28"/>
    <x v="0"/>
    <x v="0"/>
  </r>
  <r>
    <n v="13415"/>
    <x v="1"/>
    <x v="1"/>
    <n v="100000"/>
    <n v="1"/>
    <x v="4"/>
    <s v="Management"/>
    <s v="Yes"/>
    <n v="3"/>
    <x v="1"/>
    <x v="3"/>
    <x v="49"/>
    <x v="1"/>
    <x v="1"/>
  </r>
  <r>
    <n v="17000"/>
    <x v="1"/>
    <x v="0"/>
    <n v="70000"/>
    <n v="4"/>
    <x v="0"/>
    <s v="Skilled Manual"/>
    <s v="Yes"/>
    <n v="2"/>
    <x v="1"/>
    <x v="3"/>
    <x v="1"/>
    <x v="0"/>
    <x v="1"/>
  </r>
  <r>
    <n v="14569"/>
    <x v="0"/>
    <x v="1"/>
    <n v="60000"/>
    <n v="1"/>
    <x v="4"/>
    <s v="Professional"/>
    <s v="Yes"/>
    <n v="0"/>
    <x v="0"/>
    <x v="3"/>
    <x v="11"/>
    <x v="0"/>
    <x v="0"/>
  </r>
  <r>
    <n v="13873"/>
    <x v="0"/>
    <x v="1"/>
    <n v="70000"/>
    <n v="3"/>
    <x v="4"/>
    <s v="Professional"/>
    <s v="Yes"/>
    <n v="0"/>
    <x v="0"/>
    <x v="3"/>
    <x v="11"/>
    <x v="0"/>
    <x v="1"/>
  </r>
  <r>
    <n v="20401"/>
    <x v="0"/>
    <x v="0"/>
    <n v="50000"/>
    <n v="4"/>
    <x v="0"/>
    <s v="Management"/>
    <s v="Yes"/>
    <n v="2"/>
    <x v="3"/>
    <x v="3"/>
    <x v="46"/>
    <x v="1"/>
    <x v="1"/>
  </r>
  <r>
    <n v="21583"/>
    <x v="0"/>
    <x v="0"/>
    <n v="50000"/>
    <n v="1"/>
    <x v="0"/>
    <s v="Skilled Manual"/>
    <s v="Yes"/>
    <n v="0"/>
    <x v="0"/>
    <x v="3"/>
    <x v="17"/>
    <x v="0"/>
    <x v="1"/>
  </r>
  <r>
    <n v="12029"/>
    <x v="0"/>
    <x v="1"/>
    <n v="30000"/>
    <n v="0"/>
    <x v="3"/>
    <s v="Clerical"/>
    <s v="No"/>
    <n v="2"/>
    <x v="0"/>
    <x v="3"/>
    <x v="26"/>
    <x v="2"/>
    <x v="0"/>
  </r>
  <r>
    <n v="18066"/>
    <x v="1"/>
    <x v="1"/>
    <n v="70000"/>
    <n v="5"/>
    <x v="0"/>
    <s v="Management"/>
    <s v="Yes"/>
    <n v="3"/>
    <x v="4"/>
    <x v="3"/>
    <x v="2"/>
    <x v="1"/>
    <x v="1"/>
  </r>
  <r>
    <n v="28192"/>
    <x v="0"/>
    <x v="0"/>
    <n v="70000"/>
    <n v="5"/>
    <x v="4"/>
    <s v="Professional"/>
    <s v="Yes"/>
    <n v="3"/>
    <x v="4"/>
    <x v="3"/>
    <x v="30"/>
    <x v="0"/>
    <x v="0"/>
  </r>
  <r>
    <n v="16122"/>
    <x v="0"/>
    <x v="1"/>
    <n v="40000"/>
    <n v="4"/>
    <x v="2"/>
    <s v="Skilled Manual"/>
    <s v="Yes"/>
    <n v="2"/>
    <x v="0"/>
    <x v="3"/>
    <x v="20"/>
    <x v="0"/>
    <x v="1"/>
  </r>
  <r>
    <n v="18607"/>
    <x v="1"/>
    <x v="0"/>
    <n v="60000"/>
    <n v="4"/>
    <x v="0"/>
    <s v="Skilled Manual"/>
    <s v="Yes"/>
    <n v="2"/>
    <x v="1"/>
    <x v="3"/>
    <x v="0"/>
    <x v="0"/>
    <x v="1"/>
  </r>
  <r>
    <n v="28858"/>
    <x v="1"/>
    <x v="1"/>
    <n v="80000"/>
    <n v="3"/>
    <x v="0"/>
    <s v="Skilled Manual"/>
    <s v="Yes"/>
    <n v="0"/>
    <x v="1"/>
    <x v="3"/>
    <x v="8"/>
    <x v="0"/>
    <x v="0"/>
  </r>
  <r>
    <n v="14432"/>
    <x v="1"/>
    <x v="1"/>
    <n v="90000"/>
    <n v="4"/>
    <x v="4"/>
    <s v="Management"/>
    <s v="Yes"/>
    <n v="1"/>
    <x v="2"/>
    <x v="3"/>
    <x v="49"/>
    <x v="1"/>
    <x v="0"/>
  </r>
  <r>
    <n v="26305"/>
    <x v="1"/>
    <x v="0"/>
    <n v="60000"/>
    <n v="2"/>
    <x v="0"/>
    <s v="Skilled Manual"/>
    <s v="No"/>
    <n v="0"/>
    <x v="0"/>
    <x v="3"/>
    <x v="4"/>
    <x v="0"/>
    <x v="1"/>
  </r>
  <r>
    <n v="22050"/>
    <x v="1"/>
    <x v="1"/>
    <n v="90000"/>
    <n v="4"/>
    <x v="0"/>
    <s v="Management"/>
    <s v="Yes"/>
    <n v="1"/>
    <x v="3"/>
    <x v="3"/>
    <x v="13"/>
    <x v="0"/>
    <x v="1"/>
  </r>
  <r>
    <n v="25394"/>
    <x v="0"/>
    <x v="1"/>
    <n v="60000"/>
    <n v="1"/>
    <x v="4"/>
    <s v="Professional"/>
    <s v="Yes"/>
    <n v="0"/>
    <x v="1"/>
    <x v="3"/>
    <x v="17"/>
    <x v="0"/>
    <x v="1"/>
  </r>
  <r>
    <n v="19747"/>
    <x v="0"/>
    <x v="1"/>
    <n v="50000"/>
    <n v="4"/>
    <x v="0"/>
    <s v="Management"/>
    <s v="Yes"/>
    <n v="2"/>
    <x v="4"/>
    <x v="3"/>
    <x v="18"/>
    <x v="1"/>
    <x v="0"/>
  </r>
  <r>
    <n v="23195"/>
    <x v="1"/>
    <x v="1"/>
    <n v="50000"/>
    <n v="3"/>
    <x v="0"/>
    <s v="Skilled Manual"/>
    <s v="Yes"/>
    <n v="2"/>
    <x v="1"/>
    <x v="3"/>
    <x v="3"/>
    <x v="0"/>
    <x v="1"/>
  </r>
  <r>
    <n v="21695"/>
    <x v="0"/>
    <x v="1"/>
    <n v="60000"/>
    <n v="0"/>
    <x v="4"/>
    <s v="Skilled Manual"/>
    <s v="Yes"/>
    <n v="0"/>
    <x v="3"/>
    <x v="3"/>
    <x v="32"/>
    <x v="0"/>
    <x v="1"/>
  </r>
  <r>
    <n v="13934"/>
    <x v="0"/>
    <x v="1"/>
    <n v="40000"/>
    <n v="4"/>
    <x v="2"/>
    <s v="Skilled Manual"/>
    <s v="Yes"/>
    <n v="2"/>
    <x v="1"/>
    <x v="3"/>
    <x v="30"/>
    <x v="0"/>
    <x v="0"/>
  </r>
  <r>
    <n v="13337"/>
    <x v="0"/>
    <x v="0"/>
    <n v="80000"/>
    <n v="5"/>
    <x v="0"/>
    <s v="Management"/>
    <s v="Yes"/>
    <n v="2"/>
    <x v="2"/>
    <x v="3"/>
    <x v="46"/>
    <x v="1"/>
    <x v="0"/>
  </r>
  <r>
    <n v="27190"/>
    <x v="0"/>
    <x v="0"/>
    <n v="40000"/>
    <n v="3"/>
    <x v="1"/>
    <s v="Clerical"/>
    <s v="Yes"/>
    <n v="1"/>
    <x v="3"/>
    <x v="3"/>
    <x v="21"/>
    <x v="0"/>
    <x v="0"/>
  </r>
  <r>
    <n v="28657"/>
    <x v="1"/>
    <x v="1"/>
    <n v="60000"/>
    <n v="2"/>
    <x v="0"/>
    <s v="Skilled Manual"/>
    <s v="Yes"/>
    <n v="0"/>
    <x v="1"/>
    <x v="3"/>
    <x v="4"/>
    <x v="0"/>
    <x v="1"/>
  </r>
  <r>
    <n v="21713"/>
    <x v="1"/>
    <x v="1"/>
    <n v="80000"/>
    <n v="5"/>
    <x v="4"/>
    <s v="Skilled Manual"/>
    <s v="No"/>
    <n v="0"/>
    <x v="0"/>
    <x v="3"/>
    <x v="15"/>
    <x v="0"/>
    <x v="0"/>
  </r>
  <r>
    <n v="21752"/>
    <x v="0"/>
    <x v="1"/>
    <n v="60000"/>
    <n v="3"/>
    <x v="4"/>
    <s v="Management"/>
    <s v="Yes"/>
    <n v="2"/>
    <x v="4"/>
    <x v="3"/>
    <x v="46"/>
    <x v="1"/>
    <x v="0"/>
  </r>
  <r>
    <n v="27273"/>
    <x v="1"/>
    <x v="1"/>
    <n v="70000"/>
    <n v="3"/>
    <x v="4"/>
    <s v="Professional"/>
    <s v="No"/>
    <n v="0"/>
    <x v="0"/>
    <x v="3"/>
    <x v="11"/>
    <x v="0"/>
    <x v="1"/>
  </r>
  <r>
    <n v="22719"/>
    <x v="1"/>
    <x v="1"/>
    <n v="110000"/>
    <n v="3"/>
    <x v="0"/>
    <s v="Management"/>
    <s v="Yes"/>
    <n v="4"/>
    <x v="1"/>
    <x v="3"/>
    <x v="8"/>
    <x v="0"/>
    <x v="1"/>
  </r>
  <r>
    <n v="22042"/>
    <x v="0"/>
    <x v="0"/>
    <n v="70000"/>
    <n v="0"/>
    <x v="1"/>
    <s v="Skilled Manual"/>
    <s v="Yes"/>
    <n v="2"/>
    <x v="2"/>
    <x v="3"/>
    <x v="17"/>
    <x v="0"/>
    <x v="1"/>
  </r>
  <r>
    <n v="21451"/>
    <x v="0"/>
    <x v="0"/>
    <n v="40000"/>
    <n v="4"/>
    <x v="2"/>
    <s v="Professional"/>
    <s v="Yes"/>
    <n v="2"/>
    <x v="4"/>
    <x v="3"/>
    <x v="33"/>
    <x v="1"/>
    <x v="0"/>
  </r>
  <r>
    <n v="20754"/>
    <x v="0"/>
    <x v="1"/>
    <n v="30000"/>
    <n v="2"/>
    <x v="2"/>
    <s v="Skilled Manual"/>
    <s v="Yes"/>
    <n v="2"/>
    <x v="3"/>
    <x v="3"/>
    <x v="36"/>
    <x v="0"/>
    <x v="0"/>
  </r>
  <r>
    <n v="12153"/>
    <x v="1"/>
    <x v="0"/>
    <n v="70000"/>
    <n v="3"/>
    <x v="1"/>
    <s v="Professional"/>
    <s v="Yes"/>
    <n v="1"/>
    <x v="2"/>
    <x v="3"/>
    <x v="38"/>
    <x v="0"/>
    <x v="1"/>
  </r>
  <r>
    <n v="16895"/>
    <x v="0"/>
    <x v="0"/>
    <n v="40000"/>
    <n v="3"/>
    <x v="1"/>
    <s v="Professional"/>
    <s v="No"/>
    <n v="2"/>
    <x v="3"/>
    <x v="3"/>
    <x v="9"/>
    <x v="0"/>
    <x v="1"/>
  </r>
  <r>
    <n v="26728"/>
    <x v="1"/>
    <x v="1"/>
    <n v="70000"/>
    <n v="3"/>
    <x v="4"/>
    <s v="Management"/>
    <s v="No"/>
    <n v="2"/>
    <x v="3"/>
    <x v="3"/>
    <x v="39"/>
    <x v="0"/>
    <x v="1"/>
  </r>
  <r>
    <n v="11090"/>
    <x v="1"/>
    <x v="1"/>
    <n v="90000"/>
    <n v="2"/>
    <x v="1"/>
    <s v="Professional"/>
    <s v="Yes"/>
    <n v="1"/>
    <x v="1"/>
    <x v="3"/>
    <x v="28"/>
    <x v="0"/>
    <x v="1"/>
  </r>
  <r>
    <n v="15862"/>
    <x v="1"/>
    <x v="0"/>
    <n v="50000"/>
    <n v="0"/>
    <x v="4"/>
    <s v="Skilled Manual"/>
    <s v="Yes"/>
    <n v="0"/>
    <x v="3"/>
    <x v="3"/>
    <x v="6"/>
    <x v="0"/>
    <x v="1"/>
  </r>
  <r>
    <n v="26495"/>
    <x v="1"/>
    <x v="0"/>
    <n v="40000"/>
    <n v="2"/>
    <x v="2"/>
    <s v="Professional"/>
    <s v="Yes"/>
    <n v="2"/>
    <x v="4"/>
    <x v="3"/>
    <x v="42"/>
    <x v="1"/>
    <x v="0"/>
  </r>
  <r>
    <n v="11823"/>
    <x v="0"/>
    <x v="0"/>
    <n v="70000"/>
    <n v="0"/>
    <x v="4"/>
    <s v="Professional"/>
    <s v="Yes"/>
    <n v="0"/>
    <x v="1"/>
    <x v="3"/>
    <x v="32"/>
    <x v="0"/>
    <x v="0"/>
  </r>
  <r>
    <n v="23449"/>
    <x v="0"/>
    <x v="1"/>
    <n v="60000"/>
    <n v="2"/>
    <x v="2"/>
    <s v="Professional"/>
    <s v="Yes"/>
    <n v="2"/>
    <x v="2"/>
    <x v="3"/>
    <x v="28"/>
    <x v="0"/>
    <x v="0"/>
  </r>
  <r>
    <n v="23459"/>
    <x v="0"/>
    <x v="1"/>
    <n v="60000"/>
    <n v="2"/>
    <x v="2"/>
    <s v="Professional"/>
    <s v="Yes"/>
    <n v="2"/>
    <x v="2"/>
    <x v="3"/>
    <x v="5"/>
    <x v="0"/>
    <x v="0"/>
  </r>
  <r>
    <n v="19543"/>
    <x v="0"/>
    <x v="1"/>
    <n v="70000"/>
    <n v="5"/>
    <x v="4"/>
    <s v="Professional"/>
    <s v="No"/>
    <n v="3"/>
    <x v="4"/>
    <x v="3"/>
    <x v="15"/>
    <x v="0"/>
    <x v="0"/>
  </r>
  <r>
    <n v="14914"/>
    <x v="0"/>
    <x v="0"/>
    <n v="40000"/>
    <n v="1"/>
    <x v="1"/>
    <s v="Clerical"/>
    <s v="Yes"/>
    <n v="1"/>
    <x v="3"/>
    <x v="3"/>
    <x v="38"/>
    <x v="0"/>
    <x v="1"/>
  </r>
  <r>
    <n v="12033"/>
    <x v="1"/>
    <x v="0"/>
    <n v="40000"/>
    <n v="0"/>
    <x v="2"/>
    <s v="Skilled Manual"/>
    <s v="No"/>
    <n v="2"/>
    <x v="0"/>
    <x v="3"/>
    <x v="40"/>
    <x v="2"/>
    <x v="1"/>
  </r>
  <r>
    <n v="11941"/>
    <x v="1"/>
    <x v="1"/>
    <n v="60000"/>
    <n v="0"/>
    <x v="1"/>
    <s v="Skilled Manual"/>
    <s v="Yes"/>
    <n v="0"/>
    <x v="2"/>
    <x v="3"/>
    <x v="19"/>
    <x v="2"/>
    <x v="0"/>
  </r>
  <r>
    <n v="14389"/>
    <x v="0"/>
    <x v="1"/>
    <n v="60000"/>
    <n v="2"/>
    <x v="0"/>
    <s v="Management"/>
    <s v="Yes"/>
    <n v="0"/>
    <x v="1"/>
    <x v="3"/>
    <x v="14"/>
    <x v="1"/>
    <x v="0"/>
  </r>
  <r>
    <n v="18050"/>
    <x v="0"/>
    <x v="0"/>
    <n v="60000"/>
    <n v="1"/>
    <x v="1"/>
    <s v="Skilled Manual"/>
    <s v="Yes"/>
    <n v="1"/>
    <x v="0"/>
    <x v="3"/>
    <x v="12"/>
    <x v="0"/>
    <x v="1"/>
  </r>
  <r>
    <n v="19856"/>
    <x v="0"/>
    <x v="0"/>
    <n v="60000"/>
    <n v="4"/>
    <x v="0"/>
    <s v="Management"/>
    <s v="Yes"/>
    <n v="2"/>
    <x v="1"/>
    <x v="3"/>
    <x v="2"/>
    <x v="1"/>
    <x v="0"/>
  </r>
  <r>
    <n v="11663"/>
    <x v="0"/>
    <x v="1"/>
    <n v="70000"/>
    <n v="4"/>
    <x v="4"/>
    <s v="Professional"/>
    <s v="Yes"/>
    <n v="0"/>
    <x v="0"/>
    <x v="3"/>
    <x v="4"/>
    <x v="0"/>
    <x v="1"/>
  </r>
  <r>
    <n v="27740"/>
    <x v="0"/>
    <x v="0"/>
    <n v="40000"/>
    <n v="0"/>
    <x v="2"/>
    <s v="Skilled Manual"/>
    <s v="Yes"/>
    <n v="2"/>
    <x v="2"/>
    <x v="3"/>
    <x v="40"/>
    <x v="2"/>
    <x v="0"/>
  </r>
  <r>
    <n v="23455"/>
    <x v="1"/>
    <x v="1"/>
    <n v="80000"/>
    <n v="2"/>
    <x v="3"/>
    <s v="Skilled Manual"/>
    <s v="No"/>
    <n v="2"/>
    <x v="3"/>
    <x v="3"/>
    <x v="5"/>
    <x v="0"/>
    <x v="0"/>
  </r>
  <r>
    <n v="15292"/>
    <x v="1"/>
    <x v="0"/>
    <n v="60000"/>
    <n v="1"/>
    <x v="4"/>
    <s v="Skilled Manual"/>
    <s v="Yes"/>
    <n v="0"/>
    <x v="3"/>
    <x v="3"/>
    <x v="11"/>
    <x v="0"/>
    <x v="0"/>
  </r>
  <r>
    <n v="21587"/>
    <x v="0"/>
    <x v="0"/>
    <n v="60000"/>
    <n v="1"/>
    <x v="4"/>
    <s v="Skilled Manual"/>
    <s v="Yes"/>
    <n v="0"/>
    <x v="1"/>
    <x v="3"/>
    <x v="17"/>
    <x v="0"/>
    <x v="1"/>
  </r>
  <r>
    <n v="23513"/>
    <x v="0"/>
    <x v="0"/>
    <n v="40000"/>
    <n v="3"/>
    <x v="1"/>
    <s v="Professional"/>
    <s v="Yes"/>
    <n v="2"/>
    <x v="2"/>
    <x v="3"/>
    <x v="9"/>
    <x v="0"/>
    <x v="0"/>
  </r>
  <r>
    <n v="24322"/>
    <x v="0"/>
    <x v="0"/>
    <n v="60000"/>
    <n v="4"/>
    <x v="0"/>
    <s v="Skilled Manual"/>
    <s v="No"/>
    <n v="2"/>
    <x v="0"/>
    <x v="3"/>
    <x v="0"/>
    <x v="0"/>
    <x v="0"/>
  </r>
  <r>
    <n v="26298"/>
    <x v="0"/>
    <x v="0"/>
    <n v="50000"/>
    <n v="1"/>
    <x v="0"/>
    <s v="Skilled Manual"/>
    <s v="Yes"/>
    <n v="0"/>
    <x v="1"/>
    <x v="3"/>
    <x v="17"/>
    <x v="0"/>
    <x v="1"/>
  </r>
  <r>
    <n v="25419"/>
    <x v="1"/>
    <x v="1"/>
    <n v="50000"/>
    <n v="2"/>
    <x v="0"/>
    <s v="Skilled Manual"/>
    <s v="No"/>
    <n v="1"/>
    <x v="0"/>
    <x v="3"/>
    <x v="13"/>
    <x v="0"/>
    <x v="1"/>
  </r>
  <r>
    <n v="13343"/>
    <x v="0"/>
    <x v="0"/>
    <n v="90000"/>
    <n v="5"/>
    <x v="0"/>
    <s v="Management"/>
    <s v="Yes"/>
    <n v="2"/>
    <x v="3"/>
    <x v="3"/>
    <x v="18"/>
    <x v="1"/>
    <x v="1"/>
  </r>
  <r>
    <n v="11303"/>
    <x v="1"/>
    <x v="0"/>
    <n v="90000"/>
    <n v="4"/>
    <x v="2"/>
    <s v="Professional"/>
    <s v="No"/>
    <n v="3"/>
    <x v="3"/>
    <x v="3"/>
    <x v="12"/>
    <x v="0"/>
    <x v="1"/>
  </r>
  <r>
    <n v="21693"/>
    <x v="1"/>
    <x v="0"/>
    <n v="60000"/>
    <n v="0"/>
    <x v="4"/>
    <s v="Skilled Manual"/>
    <s v="No"/>
    <n v="0"/>
    <x v="0"/>
    <x v="3"/>
    <x v="8"/>
    <x v="0"/>
    <x v="0"/>
  </r>
  <r>
    <n v="28056"/>
    <x v="0"/>
    <x v="1"/>
    <n v="70000"/>
    <n v="2"/>
    <x v="3"/>
    <s v="Skilled Manual"/>
    <s v="Yes"/>
    <n v="2"/>
    <x v="4"/>
    <x v="3"/>
    <x v="39"/>
    <x v="0"/>
    <x v="0"/>
  </r>
  <r>
    <n v="11788"/>
    <x v="1"/>
    <x v="0"/>
    <n v="70000"/>
    <n v="1"/>
    <x v="4"/>
    <s v="Professional"/>
    <s v="Yes"/>
    <n v="0"/>
    <x v="1"/>
    <x v="3"/>
    <x v="17"/>
    <x v="0"/>
    <x v="0"/>
  </r>
  <r>
    <n v="22296"/>
    <x v="0"/>
    <x v="1"/>
    <n v="70000"/>
    <n v="0"/>
    <x v="0"/>
    <s v="Professional"/>
    <s v="No"/>
    <n v="1"/>
    <x v="0"/>
    <x v="3"/>
    <x v="13"/>
    <x v="0"/>
    <x v="0"/>
  </r>
  <r>
    <n v="15319"/>
    <x v="0"/>
    <x v="0"/>
    <n v="70000"/>
    <n v="4"/>
    <x v="0"/>
    <s v="Management"/>
    <s v="No"/>
    <n v="1"/>
    <x v="3"/>
    <x v="3"/>
    <x v="14"/>
    <x v="1"/>
    <x v="0"/>
  </r>
  <r>
    <n v="17654"/>
    <x v="1"/>
    <x v="0"/>
    <n v="40000"/>
    <n v="3"/>
    <x v="1"/>
    <s v="Clerical"/>
    <s v="Yes"/>
    <n v="1"/>
    <x v="3"/>
    <x v="3"/>
    <x v="25"/>
    <x v="2"/>
    <x v="1"/>
  </r>
  <r>
    <n v="14662"/>
    <x v="0"/>
    <x v="1"/>
    <n v="60000"/>
    <n v="1"/>
    <x v="0"/>
    <s v="Professional"/>
    <s v="Yes"/>
    <n v="1"/>
    <x v="0"/>
    <x v="3"/>
    <x v="28"/>
    <x v="0"/>
    <x v="1"/>
  </r>
  <r>
    <n v="17541"/>
    <x v="0"/>
    <x v="0"/>
    <n v="40000"/>
    <n v="4"/>
    <x v="2"/>
    <s v="Skilled Manual"/>
    <s v="Yes"/>
    <n v="2"/>
    <x v="1"/>
    <x v="3"/>
    <x v="1"/>
    <x v="0"/>
    <x v="0"/>
  </r>
  <r>
    <n v="13886"/>
    <x v="0"/>
    <x v="0"/>
    <n v="70000"/>
    <n v="4"/>
    <x v="4"/>
    <s v="Professional"/>
    <s v="Yes"/>
    <n v="0"/>
    <x v="1"/>
    <x v="3"/>
    <x v="11"/>
    <x v="0"/>
    <x v="1"/>
  </r>
  <r>
    <n v="13073"/>
    <x v="0"/>
    <x v="0"/>
    <n v="60000"/>
    <n v="0"/>
    <x v="1"/>
    <s v="Professional"/>
    <s v="Yes"/>
    <n v="2"/>
    <x v="2"/>
    <x v="3"/>
    <x v="25"/>
    <x v="2"/>
    <x v="0"/>
  </r>
  <r>
    <n v="21940"/>
    <x v="0"/>
    <x v="1"/>
    <n v="90000"/>
    <n v="5"/>
    <x v="4"/>
    <s v="Professional"/>
    <s v="Yes"/>
    <n v="0"/>
    <x v="0"/>
    <x v="3"/>
    <x v="15"/>
    <x v="0"/>
    <x v="1"/>
  </r>
  <r>
    <n v="20196"/>
    <x v="0"/>
    <x v="1"/>
    <n v="60000"/>
    <n v="1"/>
    <x v="1"/>
    <s v="Skilled Manual"/>
    <s v="Yes"/>
    <n v="1"/>
    <x v="1"/>
    <x v="3"/>
    <x v="12"/>
    <x v="0"/>
    <x v="1"/>
  </r>
  <r>
    <n v="23491"/>
    <x v="1"/>
    <x v="1"/>
    <n v="100000"/>
    <n v="0"/>
    <x v="1"/>
    <s v="Professional"/>
    <s v="No"/>
    <n v="4"/>
    <x v="3"/>
    <x v="3"/>
    <x v="12"/>
    <x v="0"/>
    <x v="0"/>
  </r>
  <r>
    <n v="16651"/>
    <x v="0"/>
    <x v="0"/>
    <n v="120000"/>
    <n v="2"/>
    <x v="0"/>
    <s v="Management"/>
    <s v="Yes"/>
    <n v="3"/>
    <x v="2"/>
    <x v="3"/>
    <x v="24"/>
    <x v="1"/>
    <x v="0"/>
  </r>
  <r>
    <n v="16813"/>
    <x v="0"/>
    <x v="1"/>
    <n v="60000"/>
    <n v="2"/>
    <x v="1"/>
    <s v="Professional"/>
    <s v="Yes"/>
    <n v="2"/>
    <x v="4"/>
    <x v="3"/>
    <x v="10"/>
    <x v="1"/>
    <x v="0"/>
  </r>
  <r>
    <n v="16007"/>
    <x v="0"/>
    <x v="0"/>
    <n v="90000"/>
    <n v="5"/>
    <x v="0"/>
    <s v="Management"/>
    <s v="Yes"/>
    <n v="2"/>
    <x v="3"/>
    <x v="3"/>
    <x v="29"/>
    <x v="1"/>
    <x v="1"/>
  </r>
  <r>
    <n v="27434"/>
    <x v="1"/>
    <x v="1"/>
    <n v="70000"/>
    <n v="4"/>
    <x v="1"/>
    <s v="Professional"/>
    <s v="Yes"/>
    <n v="1"/>
    <x v="4"/>
    <x v="3"/>
    <x v="16"/>
    <x v="1"/>
    <x v="0"/>
  </r>
  <r>
    <n v="27756"/>
    <x v="1"/>
    <x v="0"/>
    <n v="50000"/>
    <n v="3"/>
    <x v="0"/>
    <s v="Skilled Manual"/>
    <s v="No"/>
    <n v="1"/>
    <x v="0"/>
    <x v="3"/>
    <x v="8"/>
    <x v="0"/>
    <x v="0"/>
  </r>
  <r>
    <n v="23818"/>
    <x v="0"/>
    <x v="0"/>
    <n v="50000"/>
    <n v="0"/>
    <x v="4"/>
    <s v="Skilled Manual"/>
    <s v="Yes"/>
    <n v="0"/>
    <x v="3"/>
    <x v="3"/>
    <x v="6"/>
    <x v="0"/>
    <x v="1"/>
  </r>
  <r>
    <n v="19012"/>
    <x v="0"/>
    <x v="1"/>
    <n v="80000"/>
    <n v="3"/>
    <x v="0"/>
    <s v="Management"/>
    <s v="Yes"/>
    <n v="1"/>
    <x v="3"/>
    <x v="3"/>
    <x v="16"/>
    <x v="1"/>
    <x v="0"/>
  </r>
  <r>
    <n v="18329"/>
    <x v="1"/>
    <x v="1"/>
    <n v="30000"/>
    <n v="0"/>
    <x v="3"/>
    <s v="Clerical"/>
    <s v="No"/>
    <n v="2"/>
    <x v="2"/>
    <x v="3"/>
    <x v="40"/>
    <x v="2"/>
    <x v="0"/>
  </r>
  <r>
    <n v="29037"/>
    <x v="0"/>
    <x v="1"/>
    <n v="60000"/>
    <n v="0"/>
    <x v="4"/>
    <s v="Professional"/>
    <s v="No"/>
    <n v="0"/>
    <x v="0"/>
    <x v="3"/>
    <x v="32"/>
    <x v="0"/>
    <x v="0"/>
  </r>
  <r>
    <n v="26576"/>
    <x v="0"/>
    <x v="0"/>
    <n v="60000"/>
    <n v="0"/>
    <x v="1"/>
    <s v="Skilled Manual"/>
    <s v="Yes"/>
    <n v="2"/>
    <x v="2"/>
    <x v="3"/>
    <x v="23"/>
    <x v="0"/>
    <x v="0"/>
  </r>
  <r>
    <n v="12192"/>
    <x v="1"/>
    <x v="0"/>
    <n v="60000"/>
    <n v="2"/>
    <x v="3"/>
    <s v="Skilled Manual"/>
    <s v="No"/>
    <n v="2"/>
    <x v="3"/>
    <x v="3"/>
    <x v="36"/>
    <x v="0"/>
    <x v="0"/>
  </r>
  <r>
    <n v="14887"/>
    <x v="0"/>
    <x v="0"/>
    <n v="30000"/>
    <n v="1"/>
    <x v="2"/>
    <s v="Clerical"/>
    <s v="Yes"/>
    <n v="1"/>
    <x v="2"/>
    <x v="3"/>
    <x v="31"/>
    <x v="0"/>
    <x v="0"/>
  </r>
  <r>
    <n v="11734"/>
    <x v="0"/>
    <x v="1"/>
    <n v="60000"/>
    <n v="1"/>
    <x v="1"/>
    <s v="Skilled Manual"/>
    <s v="No"/>
    <n v="1"/>
    <x v="0"/>
    <x v="3"/>
    <x v="15"/>
    <x v="0"/>
    <x v="0"/>
  </r>
  <r>
    <n v="17462"/>
    <x v="0"/>
    <x v="1"/>
    <n v="70000"/>
    <n v="3"/>
    <x v="4"/>
    <s v="Management"/>
    <s v="Yes"/>
    <n v="2"/>
    <x v="2"/>
    <x v="3"/>
    <x v="39"/>
    <x v="0"/>
    <x v="1"/>
  </r>
  <r>
    <n v="20659"/>
    <x v="0"/>
    <x v="1"/>
    <n v="70000"/>
    <n v="3"/>
    <x v="4"/>
    <s v="Professional"/>
    <s v="Yes"/>
    <n v="0"/>
    <x v="0"/>
    <x v="3"/>
    <x v="11"/>
    <x v="0"/>
    <x v="1"/>
  </r>
  <r>
    <n v="28004"/>
    <x v="0"/>
    <x v="0"/>
    <n v="60000"/>
    <n v="3"/>
    <x v="0"/>
    <s v="Management"/>
    <s v="Yes"/>
    <n v="2"/>
    <x v="4"/>
    <x v="3"/>
    <x v="29"/>
    <x v="1"/>
    <x v="0"/>
  </r>
  <r>
    <n v="19741"/>
    <x v="1"/>
    <x v="0"/>
    <n v="80000"/>
    <n v="4"/>
    <x v="4"/>
    <s v="Management"/>
    <s v="Yes"/>
    <n v="2"/>
    <x v="2"/>
    <x v="3"/>
    <x v="27"/>
    <x v="1"/>
    <x v="0"/>
  </r>
  <r>
    <n v="17450"/>
    <x v="0"/>
    <x v="1"/>
    <n v="80000"/>
    <n v="5"/>
    <x v="1"/>
    <s v="Professional"/>
    <s v="Yes"/>
    <n v="3"/>
    <x v="2"/>
    <x v="3"/>
    <x v="12"/>
    <x v="0"/>
    <x v="0"/>
  </r>
  <r>
    <n v="17337"/>
    <x v="1"/>
    <x v="1"/>
    <n v="40000"/>
    <n v="0"/>
    <x v="2"/>
    <s v="Skilled Manual"/>
    <s v="Yes"/>
    <n v="1"/>
    <x v="2"/>
    <x v="3"/>
    <x v="23"/>
    <x v="0"/>
    <x v="0"/>
  </r>
  <r>
    <n v="18594"/>
    <x v="1"/>
    <x v="0"/>
    <n v="80000"/>
    <n v="3"/>
    <x v="0"/>
    <s v="Skilled Manual"/>
    <s v="Yes"/>
    <n v="3"/>
    <x v="4"/>
    <x v="3"/>
    <x v="8"/>
    <x v="0"/>
    <x v="1"/>
  </r>
  <r>
    <n v="15982"/>
    <x v="0"/>
    <x v="1"/>
    <n v="110000"/>
    <n v="5"/>
    <x v="1"/>
    <s v="Professional"/>
    <s v="Yes"/>
    <n v="4"/>
    <x v="1"/>
    <x v="3"/>
    <x v="30"/>
    <x v="0"/>
    <x v="0"/>
  </r>
  <r>
    <n v="28625"/>
    <x v="1"/>
    <x v="1"/>
    <n v="40000"/>
    <n v="2"/>
    <x v="1"/>
    <s v="Clerical"/>
    <s v="No"/>
    <n v="1"/>
    <x v="3"/>
    <x v="3"/>
    <x v="15"/>
    <x v="0"/>
    <x v="1"/>
  </r>
  <r>
    <n v="11269"/>
    <x v="0"/>
    <x v="1"/>
    <n v="130000"/>
    <n v="2"/>
    <x v="4"/>
    <s v="Management"/>
    <s v="Yes"/>
    <n v="2"/>
    <x v="0"/>
    <x v="3"/>
    <x v="3"/>
    <x v="0"/>
    <x v="0"/>
  </r>
  <r>
    <n v="25148"/>
    <x v="0"/>
    <x v="1"/>
    <n v="60000"/>
    <n v="2"/>
    <x v="2"/>
    <s v="Professional"/>
    <s v="No"/>
    <n v="2"/>
    <x v="3"/>
    <x v="3"/>
    <x v="28"/>
    <x v="0"/>
    <x v="1"/>
  </r>
  <r>
    <n v="13920"/>
    <x v="1"/>
    <x v="0"/>
    <n v="50000"/>
    <n v="4"/>
    <x v="0"/>
    <s v="Skilled Manual"/>
    <s v="Yes"/>
    <n v="2"/>
    <x v="0"/>
    <x v="3"/>
    <x v="0"/>
    <x v="0"/>
    <x v="0"/>
  </r>
  <r>
    <n v="23704"/>
    <x v="1"/>
    <x v="1"/>
    <n v="40000"/>
    <n v="5"/>
    <x v="2"/>
    <s v="Professional"/>
    <s v="Yes"/>
    <n v="4"/>
    <x v="4"/>
    <x v="3"/>
    <x v="2"/>
    <x v="1"/>
    <x v="1"/>
  </r>
  <r>
    <n v="28972"/>
    <x v="1"/>
    <x v="0"/>
    <n v="60000"/>
    <n v="3"/>
    <x v="4"/>
    <s v="Management"/>
    <s v="Yes"/>
    <n v="2"/>
    <x v="4"/>
    <x v="3"/>
    <x v="29"/>
    <x v="1"/>
    <x v="0"/>
  </r>
  <r>
    <n v="22730"/>
    <x v="0"/>
    <x v="1"/>
    <n v="70000"/>
    <n v="5"/>
    <x v="0"/>
    <s v="Management"/>
    <s v="Yes"/>
    <n v="2"/>
    <x v="4"/>
    <x v="3"/>
    <x v="18"/>
    <x v="1"/>
    <x v="0"/>
  </r>
  <r>
    <n v="29134"/>
    <x v="0"/>
    <x v="1"/>
    <n v="60000"/>
    <n v="4"/>
    <x v="0"/>
    <s v="Skilled Manual"/>
    <s v="No"/>
    <n v="3"/>
    <x v="4"/>
    <x v="3"/>
    <x v="0"/>
    <x v="0"/>
    <x v="0"/>
  </r>
  <r>
    <n v="14332"/>
    <x v="1"/>
    <x v="0"/>
    <n v="30000"/>
    <n v="0"/>
    <x v="2"/>
    <s v="Skilled Manual"/>
    <s v="No"/>
    <n v="2"/>
    <x v="2"/>
    <x v="3"/>
    <x v="22"/>
    <x v="2"/>
    <x v="0"/>
  </r>
  <r>
    <n v="19117"/>
    <x v="1"/>
    <x v="0"/>
    <n v="60000"/>
    <n v="1"/>
    <x v="4"/>
    <s v="Professional"/>
    <s v="Yes"/>
    <n v="0"/>
    <x v="1"/>
    <x v="3"/>
    <x v="4"/>
    <x v="0"/>
    <x v="1"/>
  </r>
  <r>
    <n v="22864"/>
    <x v="0"/>
    <x v="1"/>
    <n v="90000"/>
    <n v="2"/>
    <x v="1"/>
    <s v="Professional"/>
    <s v="No"/>
    <n v="0"/>
    <x v="2"/>
    <x v="3"/>
    <x v="38"/>
    <x v="0"/>
    <x v="1"/>
  </r>
  <r>
    <n v="11292"/>
    <x v="1"/>
    <x v="1"/>
    <n v="150000"/>
    <n v="1"/>
    <x v="1"/>
    <s v="Professional"/>
    <s v="No"/>
    <n v="3"/>
    <x v="0"/>
    <x v="3"/>
    <x v="20"/>
    <x v="0"/>
    <x v="1"/>
  </r>
  <r>
    <n v="13466"/>
    <x v="0"/>
    <x v="1"/>
    <n v="80000"/>
    <n v="5"/>
    <x v="1"/>
    <s v="Professional"/>
    <s v="Yes"/>
    <n v="3"/>
    <x v="3"/>
    <x v="3"/>
    <x v="30"/>
    <x v="0"/>
    <x v="0"/>
  </r>
  <r>
    <n v="23731"/>
    <x v="0"/>
    <x v="1"/>
    <n v="60000"/>
    <n v="2"/>
    <x v="2"/>
    <s v="Professional"/>
    <s v="Yes"/>
    <n v="2"/>
    <x v="1"/>
    <x v="3"/>
    <x v="9"/>
    <x v="0"/>
    <x v="1"/>
  </r>
  <r>
    <n v="28672"/>
    <x v="1"/>
    <x v="1"/>
    <n v="70000"/>
    <n v="4"/>
    <x v="4"/>
    <s v="Professional"/>
    <s v="Yes"/>
    <n v="0"/>
    <x v="1"/>
    <x v="3"/>
    <x v="11"/>
    <x v="0"/>
    <x v="1"/>
  </r>
  <r>
    <n v="11809"/>
    <x v="0"/>
    <x v="1"/>
    <n v="60000"/>
    <n v="2"/>
    <x v="0"/>
    <s v="Skilled Manual"/>
    <s v="Yes"/>
    <n v="0"/>
    <x v="0"/>
    <x v="3"/>
    <x v="13"/>
    <x v="0"/>
    <x v="1"/>
  </r>
  <r>
    <n v="19664"/>
    <x v="1"/>
    <x v="1"/>
    <n v="100000"/>
    <n v="3"/>
    <x v="0"/>
    <s v="Management"/>
    <s v="No"/>
    <n v="3"/>
    <x v="3"/>
    <x v="3"/>
    <x v="13"/>
    <x v="0"/>
    <x v="0"/>
  </r>
  <r>
    <n v="12121"/>
    <x v="1"/>
    <x v="1"/>
    <n v="60000"/>
    <n v="3"/>
    <x v="2"/>
    <s v="Professional"/>
    <s v="Yes"/>
    <n v="2"/>
    <x v="4"/>
    <x v="3"/>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6F0BD7-DDD6-49EE-B327-D4CB3361B6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5">
        <item x="2"/>
        <item x="0"/>
        <item x="3"/>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01B5B3-C4AF-48D2-B14D-5EF381A8E6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D12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2"/>
        <item x="0"/>
        <item x="3"/>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76E8E2-132D-42C1-9AA1-2F1C880C34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D5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2"/>
        <item x="0"/>
        <item x="3"/>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EAE228-A8B5-4BB6-AC98-E5226EDD7F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5">
        <item x="2"/>
        <item x="0"/>
        <item x="3"/>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1229A096-E6FD-4D04-B567-EE2A9F4D00C6}" sourceName="Martial Status">
  <pivotTables>
    <pivotTable tabId="3" name="PivotTable1"/>
    <pivotTable tabId="3" name="PivotTable2"/>
    <pivotTable tabId="3" name="PivotTable3"/>
    <pivotTable tabId="3" name="PivotTable6"/>
  </pivotTables>
  <data>
    <tabular pivotCacheId="12765377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C724E4-9528-40FD-B203-A4706902796D}" sourceName="Education">
  <pivotTables>
    <pivotTable tabId="3" name="PivotTable1"/>
    <pivotTable tabId="3" name="PivotTable2"/>
    <pivotTable tabId="3" name="PivotTable3"/>
    <pivotTable tabId="3" name="PivotTable6"/>
  </pivotTables>
  <data>
    <tabular pivotCacheId="12765377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7DC89F-3892-497D-86FE-FE27C2E57176}" sourceName="Region">
  <pivotTables>
    <pivotTable tabId="3" name="PivotTable1"/>
    <pivotTable tabId="3" name="PivotTable2"/>
    <pivotTable tabId="3" name="PivotTable3"/>
    <pivotTable tabId="3" name="PivotTable6"/>
  </pivotTables>
  <data>
    <tabular pivotCacheId="1276537775">
      <items count="4">
        <i x="2" s="1"/>
        <i x="0" s="1"/>
        <i x="3"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704CF8F8-2EEE-4FE4-B3A8-4D14661A7D09}" cache="Slicer_Martial_Status" caption="Martial Status" rowHeight="241300"/>
  <slicer name="Education" xr10:uid="{070A264F-98EA-4840-8686-1AAF58549736}" cache="Slicer_Education" caption="Education" rowHeight="241300"/>
  <slicer name="Region" xr10:uid="{4F5B0336-A7FB-4CE5-B708-B2EBDF23FDE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D1" zoomScale="119" workbookViewId="0">
      <selection activeCell="J7" sqref="J7"/>
    </sheetView>
  </sheetViews>
  <sheetFormatPr defaultColWidth="11.85546875" defaultRowHeight="15" x14ac:dyDescent="0.25"/>
  <cols>
    <col min="2" max="2" width="13.28515625" bestFit="1" customWidth="1"/>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36</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D72A-246A-4CB8-A9FE-772D60DED3BB}">
  <dimension ref="A1:N1001"/>
  <sheetViews>
    <sheetView tabSelected="1" topLeftCell="B1" workbookViewId="0">
      <selection activeCell="J23" sqref="J23"/>
    </sheetView>
  </sheetViews>
  <sheetFormatPr defaultColWidth="11.85546875" defaultRowHeight="15" x14ac:dyDescent="0.25"/>
  <cols>
    <col min="2" max="2" width="25.5703125" bestFit="1" customWidth="1"/>
    <col min="4" max="4" width="12.28515625" style="3" bestFit="1" customWidth="1"/>
    <col min="10" max="10" width="18" bestFit="1" customWidth="1"/>
    <col min="13" max="13" width="16.140625" customWidth="1"/>
    <col min="14" max="14" width="15.42578125" customWidth="1"/>
  </cols>
  <sheetData>
    <row r="1" spans="1:14" x14ac:dyDescent="0.25">
      <c r="A1" t="s">
        <v>0</v>
      </c>
      <c r="B1" t="s">
        <v>42</v>
      </c>
      <c r="C1" t="s">
        <v>2</v>
      </c>
      <c r="D1" s="3" t="s">
        <v>3</v>
      </c>
      <c r="E1" t="s">
        <v>4</v>
      </c>
      <c r="F1" t="s">
        <v>5</v>
      </c>
      <c r="G1" t="s">
        <v>6</v>
      </c>
      <c r="H1" t="s">
        <v>7</v>
      </c>
      <c r="I1" t="s">
        <v>8</v>
      </c>
      <c r="J1" t="s">
        <v>9</v>
      </c>
      <c r="K1" t="s">
        <v>10</v>
      </c>
      <c r="L1" t="s">
        <v>11</v>
      </c>
      <c r="M1" t="s">
        <v>41</v>
      </c>
      <c r="N1" t="s">
        <v>12</v>
      </c>
    </row>
    <row r="2" spans="1:14" x14ac:dyDescent="0.25">
      <c r="A2">
        <v>12496</v>
      </c>
      <c r="B2" t="s">
        <v>37</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37</v>
      </c>
      <c r="C3" t="s">
        <v>40</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37</v>
      </c>
      <c r="C4" t="s">
        <v>40</v>
      </c>
      <c r="D4" s="3">
        <v>80000</v>
      </c>
      <c r="E4">
        <v>5</v>
      </c>
      <c r="F4" t="s">
        <v>19</v>
      </c>
      <c r="G4" t="s">
        <v>21</v>
      </c>
      <c r="H4" t="s">
        <v>18</v>
      </c>
      <c r="I4">
        <v>2</v>
      </c>
      <c r="J4" t="s">
        <v>22</v>
      </c>
      <c r="K4" t="s">
        <v>17</v>
      </c>
      <c r="L4">
        <v>60</v>
      </c>
      <c r="M4" t="str">
        <f t="shared" si="0"/>
        <v>Old</v>
      </c>
      <c r="N4" t="s">
        <v>18</v>
      </c>
    </row>
    <row r="5" spans="1:14" x14ac:dyDescent="0.25">
      <c r="A5">
        <v>24381</v>
      </c>
      <c r="B5" t="s">
        <v>38</v>
      </c>
      <c r="C5" t="s">
        <v>40</v>
      </c>
      <c r="D5" s="3">
        <v>70000</v>
      </c>
      <c r="E5">
        <v>0</v>
      </c>
      <c r="F5" t="s">
        <v>13</v>
      </c>
      <c r="G5" t="s">
        <v>21</v>
      </c>
      <c r="H5" t="s">
        <v>15</v>
      </c>
      <c r="I5">
        <v>1</v>
      </c>
      <c r="J5" t="s">
        <v>23</v>
      </c>
      <c r="K5" t="s">
        <v>24</v>
      </c>
      <c r="L5">
        <v>41</v>
      </c>
      <c r="M5" t="str">
        <f t="shared" si="0"/>
        <v>Middle Age</v>
      </c>
      <c r="N5" t="s">
        <v>15</v>
      </c>
    </row>
    <row r="6" spans="1:14" x14ac:dyDescent="0.25">
      <c r="A6">
        <v>25597</v>
      </c>
      <c r="B6" t="s">
        <v>38</v>
      </c>
      <c r="C6" t="s">
        <v>40</v>
      </c>
      <c r="D6" s="3">
        <v>30000</v>
      </c>
      <c r="E6">
        <v>0</v>
      </c>
      <c r="F6" t="s">
        <v>13</v>
      </c>
      <c r="G6" t="s">
        <v>20</v>
      </c>
      <c r="H6" t="s">
        <v>18</v>
      </c>
      <c r="I6">
        <v>0</v>
      </c>
      <c r="J6" t="s">
        <v>16</v>
      </c>
      <c r="K6" t="s">
        <v>17</v>
      </c>
      <c r="L6">
        <v>36</v>
      </c>
      <c r="M6" t="str">
        <f t="shared" si="0"/>
        <v>Middle Age</v>
      </c>
      <c r="N6" t="s">
        <v>15</v>
      </c>
    </row>
    <row r="7" spans="1:14" x14ac:dyDescent="0.25">
      <c r="A7">
        <v>13507</v>
      </c>
      <c r="B7" t="s">
        <v>37</v>
      </c>
      <c r="C7" t="s">
        <v>39</v>
      </c>
      <c r="D7" s="3">
        <v>10000</v>
      </c>
      <c r="E7">
        <v>2</v>
      </c>
      <c r="F7" t="s">
        <v>19</v>
      </c>
      <c r="G7" t="s">
        <v>25</v>
      </c>
      <c r="H7" t="s">
        <v>15</v>
      </c>
      <c r="I7">
        <v>0</v>
      </c>
      <c r="J7" t="s">
        <v>26</v>
      </c>
      <c r="K7" t="s">
        <v>17</v>
      </c>
      <c r="L7">
        <v>50</v>
      </c>
      <c r="M7" t="str">
        <f t="shared" si="0"/>
        <v>Middle Age</v>
      </c>
      <c r="N7" t="s">
        <v>18</v>
      </c>
    </row>
    <row r="8" spans="1:14" x14ac:dyDescent="0.25">
      <c r="A8">
        <v>27974</v>
      </c>
      <c r="B8" t="s">
        <v>38</v>
      </c>
      <c r="C8" t="s">
        <v>40</v>
      </c>
      <c r="D8" s="3">
        <v>160000</v>
      </c>
      <c r="E8">
        <v>2</v>
      </c>
      <c r="F8" t="s">
        <v>27</v>
      </c>
      <c r="G8" t="s">
        <v>28</v>
      </c>
      <c r="H8" t="s">
        <v>15</v>
      </c>
      <c r="I8">
        <v>4</v>
      </c>
      <c r="J8" t="s">
        <v>16</v>
      </c>
      <c r="K8" t="s">
        <v>36</v>
      </c>
      <c r="L8">
        <v>33</v>
      </c>
      <c r="M8" t="str">
        <f t="shared" si="0"/>
        <v>Middle Age</v>
      </c>
      <c r="N8" t="s">
        <v>15</v>
      </c>
    </row>
    <row r="9" spans="1:14" x14ac:dyDescent="0.25">
      <c r="A9">
        <v>19364</v>
      </c>
      <c r="B9" t="s">
        <v>37</v>
      </c>
      <c r="C9" t="s">
        <v>40</v>
      </c>
      <c r="D9" s="3">
        <v>40000</v>
      </c>
      <c r="E9">
        <v>1</v>
      </c>
      <c r="F9" t="s">
        <v>13</v>
      </c>
      <c r="G9" t="s">
        <v>14</v>
      </c>
      <c r="H9" t="s">
        <v>15</v>
      </c>
      <c r="I9">
        <v>0</v>
      </c>
      <c r="J9" t="s">
        <v>16</v>
      </c>
      <c r="K9" t="s">
        <v>17</v>
      </c>
      <c r="L9">
        <v>43</v>
      </c>
      <c r="M9" t="str">
        <f t="shared" si="0"/>
        <v>Middle Age</v>
      </c>
      <c r="N9" t="s">
        <v>15</v>
      </c>
    </row>
    <row r="10" spans="1:14" x14ac:dyDescent="0.25">
      <c r="A10">
        <v>22155</v>
      </c>
      <c r="B10" t="s">
        <v>37</v>
      </c>
      <c r="C10" t="s">
        <v>40</v>
      </c>
      <c r="D10" s="3">
        <v>20000</v>
      </c>
      <c r="E10">
        <v>2</v>
      </c>
      <c r="F10" t="s">
        <v>29</v>
      </c>
      <c r="G10" t="s">
        <v>20</v>
      </c>
      <c r="H10" t="s">
        <v>15</v>
      </c>
      <c r="I10">
        <v>2</v>
      </c>
      <c r="J10" t="s">
        <v>23</v>
      </c>
      <c r="K10" t="s">
        <v>24</v>
      </c>
      <c r="L10">
        <v>58</v>
      </c>
      <c r="M10" t="str">
        <f t="shared" si="0"/>
        <v>Old</v>
      </c>
      <c r="N10" t="s">
        <v>18</v>
      </c>
    </row>
    <row r="11" spans="1:14" x14ac:dyDescent="0.25">
      <c r="A11">
        <v>19280</v>
      </c>
      <c r="B11" t="s">
        <v>37</v>
      </c>
      <c r="C11" t="s">
        <v>40</v>
      </c>
      <c r="D11" s="3">
        <v>120000</v>
      </c>
      <c r="E11">
        <v>2</v>
      </c>
      <c r="F11" t="s">
        <v>19</v>
      </c>
      <c r="G11" t="s">
        <v>25</v>
      </c>
      <c r="H11" t="s">
        <v>15</v>
      </c>
      <c r="I11">
        <v>1</v>
      </c>
      <c r="J11" t="s">
        <v>16</v>
      </c>
      <c r="K11" t="s">
        <v>17</v>
      </c>
      <c r="L11">
        <v>40</v>
      </c>
      <c r="M11" t="str">
        <f t="shared" si="0"/>
        <v>Middle Age</v>
      </c>
      <c r="N11" t="s">
        <v>15</v>
      </c>
    </row>
    <row r="12" spans="1:14" x14ac:dyDescent="0.2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38</v>
      </c>
      <c r="C13" t="s">
        <v>39</v>
      </c>
      <c r="D13" s="3">
        <v>90000</v>
      </c>
      <c r="E13">
        <v>0</v>
      </c>
      <c r="F13" t="s">
        <v>13</v>
      </c>
      <c r="G13" t="s">
        <v>21</v>
      </c>
      <c r="H13" t="s">
        <v>18</v>
      </c>
      <c r="I13">
        <v>4</v>
      </c>
      <c r="J13" t="s">
        <v>53</v>
      </c>
      <c r="K13" t="s">
        <v>24</v>
      </c>
      <c r="L13">
        <v>36</v>
      </c>
      <c r="M13" t="str">
        <f t="shared" si="0"/>
        <v>Middle Age</v>
      </c>
      <c r="N13" t="s">
        <v>18</v>
      </c>
    </row>
    <row r="14" spans="1:14" x14ac:dyDescent="0.25">
      <c r="A14">
        <v>11434</v>
      </c>
      <c r="B14" t="s">
        <v>37</v>
      </c>
      <c r="C14" t="s">
        <v>40</v>
      </c>
      <c r="D14" s="3">
        <v>170000</v>
      </c>
      <c r="E14">
        <v>5</v>
      </c>
      <c r="F14" t="s">
        <v>19</v>
      </c>
      <c r="G14" t="s">
        <v>21</v>
      </c>
      <c r="H14" t="s">
        <v>15</v>
      </c>
      <c r="I14">
        <v>0</v>
      </c>
      <c r="J14" t="s">
        <v>16</v>
      </c>
      <c r="K14" t="s">
        <v>17</v>
      </c>
      <c r="L14">
        <v>55</v>
      </c>
      <c r="M14" t="str">
        <f t="shared" si="0"/>
        <v>Old</v>
      </c>
      <c r="N14" t="s">
        <v>18</v>
      </c>
    </row>
    <row r="15" spans="1:14" x14ac:dyDescent="0.25">
      <c r="A15">
        <v>25323</v>
      </c>
      <c r="B15" t="s">
        <v>37</v>
      </c>
      <c r="C15" t="s">
        <v>40</v>
      </c>
      <c r="D15" s="3">
        <v>40000</v>
      </c>
      <c r="E15">
        <v>2</v>
      </c>
      <c r="F15" t="s">
        <v>19</v>
      </c>
      <c r="G15" t="s">
        <v>20</v>
      </c>
      <c r="H15" t="s">
        <v>15</v>
      </c>
      <c r="I15">
        <v>1</v>
      </c>
      <c r="J15" t="s">
        <v>26</v>
      </c>
      <c r="K15" t="s">
        <v>17</v>
      </c>
      <c r="L15">
        <v>35</v>
      </c>
      <c r="M15" t="str">
        <f t="shared" si="0"/>
        <v>Middle Age</v>
      </c>
      <c r="N15" t="s">
        <v>15</v>
      </c>
    </row>
    <row r="16" spans="1:14" x14ac:dyDescent="0.25">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2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25">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38</v>
      </c>
      <c r="C23" t="s">
        <v>39</v>
      </c>
      <c r="D23" s="3">
        <v>80000</v>
      </c>
      <c r="E23">
        <v>0</v>
      </c>
      <c r="F23" t="s">
        <v>13</v>
      </c>
      <c r="G23" t="s">
        <v>21</v>
      </c>
      <c r="H23" t="s">
        <v>15</v>
      </c>
      <c r="I23">
        <v>4</v>
      </c>
      <c r="J23" t="s">
        <v>53</v>
      </c>
      <c r="K23" t="s">
        <v>24</v>
      </c>
      <c r="L23">
        <v>35</v>
      </c>
      <c r="M23" t="str">
        <f t="shared" si="0"/>
        <v>Middle Age</v>
      </c>
      <c r="N23" t="s">
        <v>18</v>
      </c>
    </row>
    <row r="24" spans="1:14" x14ac:dyDescent="0.25">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25">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25">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2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2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2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25">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2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2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25">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2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38</v>
      </c>
      <c r="C53" t="s">
        <v>40</v>
      </c>
      <c r="D53" s="3">
        <v>80000</v>
      </c>
      <c r="E53">
        <v>0</v>
      </c>
      <c r="F53" t="s">
        <v>13</v>
      </c>
      <c r="G53" t="s">
        <v>21</v>
      </c>
      <c r="H53" t="s">
        <v>18</v>
      </c>
      <c r="I53">
        <v>4</v>
      </c>
      <c r="J53" t="s">
        <v>53</v>
      </c>
      <c r="K53" t="s">
        <v>24</v>
      </c>
      <c r="L53">
        <v>35</v>
      </c>
      <c r="M53" t="str">
        <f t="shared" si="0"/>
        <v>Middle Age</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40</v>
      </c>
      <c r="D57" s="3">
        <v>80000</v>
      </c>
      <c r="E57">
        <v>4</v>
      </c>
      <c r="F57" t="s">
        <v>27</v>
      </c>
      <c r="G57" t="s">
        <v>21</v>
      </c>
      <c r="H57" t="s">
        <v>15</v>
      </c>
      <c r="I57">
        <v>2</v>
      </c>
      <c r="J57" t="s">
        <v>53</v>
      </c>
      <c r="K57" t="s">
        <v>17</v>
      </c>
      <c r="L57">
        <v>54</v>
      </c>
      <c r="M57" t="str">
        <f t="shared" si="0"/>
        <v>Middle Age</v>
      </c>
      <c r="N57" t="s">
        <v>18</v>
      </c>
    </row>
    <row r="58" spans="1:14" x14ac:dyDescent="0.25">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2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25">
      <c r="A65">
        <v>16185</v>
      </c>
      <c r="B65" t="s">
        <v>38</v>
      </c>
      <c r="C65" t="s">
        <v>40</v>
      </c>
      <c r="D65" s="3">
        <v>60000</v>
      </c>
      <c r="E65">
        <v>4</v>
      </c>
      <c r="F65" t="s">
        <v>13</v>
      </c>
      <c r="G65" t="s">
        <v>21</v>
      </c>
      <c r="H65" t="s">
        <v>15</v>
      </c>
      <c r="I65">
        <v>3</v>
      </c>
      <c r="J65" t="s">
        <v>53</v>
      </c>
      <c r="K65" t="s">
        <v>24</v>
      </c>
      <c r="L65">
        <v>41</v>
      </c>
      <c r="M65" t="str">
        <f t="shared" si="0"/>
        <v>Middle Age</v>
      </c>
      <c r="N65" t="s">
        <v>18</v>
      </c>
    </row>
    <row r="66" spans="1:14" x14ac:dyDescent="0.2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38</v>
      </c>
      <c r="C67" t="s">
        <v>40</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2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37</v>
      </c>
      <c r="C72" t="s">
        <v>40</v>
      </c>
      <c r="D72" s="3">
        <v>120000</v>
      </c>
      <c r="E72">
        <v>0</v>
      </c>
      <c r="F72" t="s">
        <v>29</v>
      </c>
      <c r="G72" t="s">
        <v>21</v>
      </c>
      <c r="H72" t="s">
        <v>15</v>
      </c>
      <c r="I72">
        <v>4</v>
      </c>
      <c r="J72" t="s">
        <v>53</v>
      </c>
      <c r="K72" t="s">
        <v>24</v>
      </c>
      <c r="L72">
        <v>36</v>
      </c>
      <c r="M72" t="str">
        <f t="shared" si="1"/>
        <v>Middle Age</v>
      </c>
      <c r="N72" t="s">
        <v>15</v>
      </c>
    </row>
    <row r="73" spans="1:14" x14ac:dyDescent="0.2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37</v>
      </c>
      <c r="C79" t="s">
        <v>40</v>
      </c>
      <c r="D79" s="3">
        <v>80000</v>
      </c>
      <c r="E79">
        <v>0</v>
      </c>
      <c r="F79" t="s">
        <v>13</v>
      </c>
      <c r="G79" t="s">
        <v>21</v>
      </c>
      <c r="H79" t="s">
        <v>15</v>
      </c>
      <c r="I79">
        <v>2</v>
      </c>
      <c r="J79" t="s">
        <v>53</v>
      </c>
      <c r="K79" t="s">
        <v>24</v>
      </c>
      <c r="L79">
        <v>29</v>
      </c>
      <c r="M79" t="str">
        <f t="shared" si="1"/>
        <v>Adolescent</v>
      </c>
      <c r="N79" t="s">
        <v>15</v>
      </c>
    </row>
    <row r="80" spans="1:14" x14ac:dyDescent="0.25">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25">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25">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25">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25">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25">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25">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2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2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38</v>
      </c>
      <c r="C97" t="s">
        <v>39</v>
      </c>
      <c r="D97" s="3">
        <v>90000</v>
      </c>
      <c r="E97">
        <v>5</v>
      </c>
      <c r="F97" t="s">
        <v>19</v>
      </c>
      <c r="G97" t="s">
        <v>21</v>
      </c>
      <c r="H97" t="s">
        <v>15</v>
      </c>
      <c r="I97">
        <v>2</v>
      </c>
      <c r="J97" t="s">
        <v>53</v>
      </c>
      <c r="K97" t="s">
        <v>17</v>
      </c>
      <c r="L97">
        <v>62</v>
      </c>
      <c r="M97" t="str">
        <f t="shared" si="1"/>
        <v>Old</v>
      </c>
      <c r="N97" t="s">
        <v>18</v>
      </c>
    </row>
    <row r="98" spans="1:14" x14ac:dyDescent="0.25">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39</v>
      </c>
      <c r="D124" s="3">
        <v>80000</v>
      </c>
      <c r="E124">
        <v>0</v>
      </c>
      <c r="F124" t="s">
        <v>13</v>
      </c>
      <c r="G124" t="s">
        <v>21</v>
      </c>
      <c r="H124" t="s">
        <v>18</v>
      </c>
      <c r="I124">
        <v>3</v>
      </c>
      <c r="J124" t="s">
        <v>53</v>
      </c>
      <c r="K124" t="s">
        <v>24</v>
      </c>
      <c r="L124">
        <v>31</v>
      </c>
      <c r="M124" t="str">
        <f t="shared" si="1"/>
        <v>Middle Age</v>
      </c>
      <c r="N124" t="s">
        <v>18</v>
      </c>
    </row>
    <row r="125" spans="1:14" x14ac:dyDescent="0.2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40</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3">
        <v>80000</v>
      </c>
      <c r="E145">
        <v>0</v>
      </c>
      <c r="F145" t="s">
        <v>13</v>
      </c>
      <c r="G145" t="s">
        <v>21</v>
      </c>
      <c r="H145" t="s">
        <v>15</v>
      </c>
      <c r="I145">
        <v>3</v>
      </c>
      <c r="J145" t="s">
        <v>53</v>
      </c>
      <c r="K145" t="s">
        <v>24</v>
      </c>
      <c r="L145">
        <v>32</v>
      </c>
      <c r="M145" t="str">
        <f t="shared" si="2"/>
        <v>Middle Age</v>
      </c>
      <c r="N145" t="s">
        <v>18</v>
      </c>
    </row>
    <row r="146" spans="1:14" x14ac:dyDescent="0.25">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40</v>
      </c>
      <c r="D169" s="3">
        <v>100000</v>
      </c>
      <c r="E169">
        <v>0</v>
      </c>
      <c r="F169" t="s">
        <v>27</v>
      </c>
      <c r="G169" t="s">
        <v>28</v>
      </c>
      <c r="H169" t="s">
        <v>15</v>
      </c>
      <c r="I169">
        <v>3</v>
      </c>
      <c r="J169" t="s">
        <v>53</v>
      </c>
      <c r="K169" t="s">
        <v>24</v>
      </c>
      <c r="L169">
        <v>35</v>
      </c>
      <c r="M169" t="str">
        <f t="shared" si="2"/>
        <v>Middle Age</v>
      </c>
      <c r="N169" t="s">
        <v>18</v>
      </c>
    </row>
    <row r="170" spans="1:14" x14ac:dyDescent="0.25">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40</v>
      </c>
      <c r="D180" s="3">
        <v>160000</v>
      </c>
      <c r="E180">
        <v>4</v>
      </c>
      <c r="F180" t="s">
        <v>19</v>
      </c>
      <c r="G180" t="s">
        <v>21</v>
      </c>
      <c r="H180" t="s">
        <v>18</v>
      </c>
      <c r="I180">
        <v>2</v>
      </c>
      <c r="J180" t="s">
        <v>53</v>
      </c>
      <c r="K180" t="s">
        <v>17</v>
      </c>
      <c r="L180">
        <v>55</v>
      </c>
      <c r="M180" t="str">
        <f t="shared" si="2"/>
        <v>Old</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39</v>
      </c>
      <c r="D186" s="3">
        <v>130000</v>
      </c>
      <c r="E186">
        <v>4</v>
      </c>
      <c r="F186" t="s">
        <v>27</v>
      </c>
      <c r="G186" t="s">
        <v>28</v>
      </c>
      <c r="H186" t="s">
        <v>18</v>
      </c>
      <c r="I186">
        <v>4</v>
      </c>
      <c r="J186" t="s">
        <v>53</v>
      </c>
      <c r="K186" t="s">
        <v>17</v>
      </c>
      <c r="L186">
        <v>58</v>
      </c>
      <c r="M186" t="str">
        <f t="shared" si="2"/>
        <v>Old</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40</v>
      </c>
      <c r="D189" s="3">
        <v>80000</v>
      </c>
      <c r="E189">
        <v>5</v>
      </c>
      <c r="F189" t="s">
        <v>19</v>
      </c>
      <c r="G189" t="s">
        <v>21</v>
      </c>
      <c r="H189" t="s">
        <v>18</v>
      </c>
      <c r="I189">
        <v>2</v>
      </c>
      <c r="J189" t="s">
        <v>53</v>
      </c>
      <c r="K189" t="s">
        <v>17</v>
      </c>
      <c r="L189">
        <v>59</v>
      </c>
      <c r="M189" t="str">
        <f t="shared" si="2"/>
        <v>Old</v>
      </c>
      <c r="N189" t="s">
        <v>18</v>
      </c>
    </row>
    <row r="190" spans="1:14" x14ac:dyDescent="0.25">
      <c r="A190">
        <v>20606</v>
      </c>
      <c r="B190" t="s">
        <v>37</v>
      </c>
      <c r="C190" t="s">
        <v>39</v>
      </c>
      <c r="D190" s="3">
        <v>70000</v>
      </c>
      <c r="E190">
        <v>0</v>
      </c>
      <c r="F190" t="s">
        <v>13</v>
      </c>
      <c r="G190" t="s">
        <v>21</v>
      </c>
      <c r="H190" t="s">
        <v>15</v>
      </c>
      <c r="I190">
        <v>4</v>
      </c>
      <c r="J190" t="s">
        <v>53</v>
      </c>
      <c r="K190" t="s">
        <v>24</v>
      </c>
      <c r="L190">
        <v>32</v>
      </c>
      <c r="M190" t="str">
        <f t="shared" si="2"/>
        <v>Middle Age</v>
      </c>
      <c r="N190" t="s">
        <v>15</v>
      </c>
    </row>
    <row r="191" spans="1:14" x14ac:dyDescent="0.25">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40</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39</v>
      </c>
      <c r="D194" s="3">
        <v>80000</v>
      </c>
      <c r="E194">
        <v>5</v>
      </c>
      <c r="F194" t="s">
        <v>13</v>
      </c>
      <c r="G194" t="s">
        <v>28</v>
      </c>
      <c r="H194" t="s">
        <v>15</v>
      </c>
      <c r="I194">
        <v>2</v>
      </c>
      <c r="J194" t="s">
        <v>53</v>
      </c>
      <c r="K194" t="s">
        <v>17</v>
      </c>
      <c r="L194">
        <v>62</v>
      </c>
      <c r="M194" t="str">
        <f t="shared" si="2"/>
        <v>Old</v>
      </c>
      <c r="N194" t="s">
        <v>18</v>
      </c>
    </row>
    <row r="195" spans="1:14" x14ac:dyDescent="0.25">
      <c r="A195">
        <v>26032</v>
      </c>
      <c r="B195" t="s">
        <v>37</v>
      </c>
      <c r="C195" t="s">
        <v>39</v>
      </c>
      <c r="D195" s="3">
        <v>70000</v>
      </c>
      <c r="E195">
        <v>5</v>
      </c>
      <c r="F195" t="s">
        <v>13</v>
      </c>
      <c r="G195" t="s">
        <v>21</v>
      </c>
      <c r="H195" t="s">
        <v>15</v>
      </c>
      <c r="I195">
        <v>4</v>
      </c>
      <c r="J195" t="s">
        <v>53</v>
      </c>
      <c r="K195" t="s">
        <v>24</v>
      </c>
      <c r="L195">
        <v>41</v>
      </c>
      <c r="M195" t="str">
        <f t="shared" ref="M195:M258" si="3">IF(L195&gt;54,"Old",IF(L195&gt;=31,"Middle Age",IF(L195&lt;31,"Adolescent","Invalid")))</f>
        <v>Middle Age</v>
      </c>
      <c r="N195" t="s">
        <v>18</v>
      </c>
    </row>
    <row r="196" spans="1:14" x14ac:dyDescent="0.2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40</v>
      </c>
      <c r="D201" s="3">
        <v>80000</v>
      </c>
      <c r="E201">
        <v>0</v>
      </c>
      <c r="F201" t="s">
        <v>13</v>
      </c>
      <c r="G201" t="s">
        <v>21</v>
      </c>
      <c r="H201" t="s">
        <v>18</v>
      </c>
      <c r="I201">
        <v>3</v>
      </c>
      <c r="J201" t="s">
        <v>53</v>
      </c>
      <c r="K201" t="s">
        <v>24</v>
      </c>
      <c r="L201">
        <v>33</v>
      </c>
      <c r="M201" t="str">
        <f t="shared" si="3"/>
        <v>Middle Age</v>
      </c>
      <c r="N201" t="s">
        <v>15</v>
      </c>
    </row>
    <row r="202" spans="1:14" x14ac:dyDescent="0.25">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40</v>
      </c>
      <c r="D208" s="3">
        <v>90000</v>
      </c>
      <c r="E208">
        <v>5</v>
      </c>
      <c r="F208" t="s">
        <v>19</v>
      </c>
      <c r="G208" t="s">
        <v>21</v>
      </c>
      <c r="H208" t="s">
        <v>18</v>
      </c>
      <c r="I208">
        <v>2</v>
      </c>
      <c r="J208" t="s">
        <v>53</v>
      </c>
      <c r="K208" t="s">
        <v>17</v>
      </c>
      <c r="L208">
        <v>62</v>
      </c>
      <c r="M208" t="str">
        <f t="shared" si="3"/>
        <v>Old</v>
      </c>
      <c r="N208" t="s">
        <v>18</v>
      </c>
    </row>
    <row r="209" spans="1:14" x14ac:dyDescent="0.2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38</v>
      </c>
      <c r="C215" t="s">
        <v>40</v>
      </c>
      <c r="D215" s="3">
        <v>70000</v>
      </c>
      <c r="E215">
        <v>0</v>
      </c>
      <c r="F215" t="s">
        <v>13</v>
      </c>
      <c r="G215" t="s">
        <v>21</v>
      </c>
      <c r="H215" t="s">
        <v>18</v>
      </c>
      <c r="I215">
        <v>4</v>
      </c>
      <c r="J215" t="s">
        <v>53</v>
      </c>
      <c r="K215" t="s">
        <v>24</v>
      </c>
      <c r="L215">
        <v>31</v>
      </c>
      <c r="M215" t="str">
        <f t="shared" si="3"/>
        <v>Middle Age</v>
      </c>
      <c r="N215" t="s">
        <v>15</v>
      </c>
    </row>
    <row r="216" spans="1:14" x14ac:dyDescent="0.25">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39</v>
      </c>
      <c r="D225" s="3">
        <v>70000</v>
      </c>
      <c r="E225">
        <v>5</v>
      </c>
      <c r="F225" t="s">
        <v>13</v>
      </c>
      <c r="G225" t="s">
        <v>21</v>
      </c>
      <c r="H225" t="s">
        <v>15</v>
      </c>
      <c r="I225">
        <v>4</v>
      </c>
      <c r="J225" t="s">
        <v>53</v>
      </c>
      <c r="K225" t="s">
        <v>24</v>
      </c>
      <c r="L225">
        <v>39</v>
      </c>
      <c r="M225" t="str">
        <f t="shared" si="3"/>
        <v>Middle Age</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40</v>
      </c>
      <c r="D231" s="3">
        <v>80000</v>
      </c>
      <c r="E231">
        <v>5</v>
      </c>
      <c r="F231" t="s">
        <v>27</v>
      </c>
      <c r="G231" t="s">
        <v>28</v>
      </c>
      <c r="H231" t="s">
        <v>15</v>
      </c>
      <c r="I231">
        <v>3</v>
      </c>
      <c r="J231" t="s">
        <v>53</v>
      </c>
      <c r="K231" t="s">
        <v>17</v>
      </c>
      <c r="L231">
        <v>57</v>
      </c>
      <c r="M231" t="str">
        <f t="shared" si="3"/>
        <v>Old</v>
      </c>
      <c r="N231" t="s">
        <v>18</v>
      </c>
    </row>
    <row r="232" spans="1:14" x14ac:dyDescent="0.25">
      <c r="A232">
        <v>22830</v>
      </c>
      <c r="B232" t="s">
        <v>37</v>
      </c>
      <c r="C232" t="s">
        <v>40</v>
      </c>
      <c r="D232" s="3">
        <v>120000</v>
      </c>
      <c r="E232">
        <v>4</v>
      </c>
      <c r="F232" t="s">
        <v>19</v>
      </c>
      <c r="G232" t="s">
        <v>28</v>
      </c>
      <c r="H232" t="s">
        <v>15</v>
      </c>
      <c r="I232">
        <v>3</v>
      </c>
      <c r="J232" t="s">
        <v>53</v>
      </c>
      <c r="K232" t="s">
        <v>17</v>
      </c>
      <c r="L232">
        <v>56</v>
      </c>
      <c r="M232" t="str">
        <f t="shared" si="3"/>
        <v>Old</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38</v>
      </c>
      <c r="C236" t="s">
        <v>40</v>
      </c>
      <c r="D236" s="3">
        <v>90000</v>
      </c>
      <c r="E236">
        <v>0</v>
      </c>
      <c r="F236" t="s">
        <v>13</v>
      </c>
      <c r="G236" t="s">
        <v>21</v>
      </c>
      <c r="H236" t="s">
        <v>18</v>
      </c>
      <c r="I236">
        <v>4</v>
      </c>
      <c r="J236" t="s">
        <v>53</v>
      </c>
      <c r="K236" t="s">
        <v>24</v>
      </c>
      <c r="L236">
        <v>35</v>
      </c>
      <c r="M236" t="str">
        <f t="shared" si="3"/>
        <v>Middle Age</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39</v>
      </c>
      <c r="D246" s="3">
        <v>120000</v>
      </c>
      <c r="E246">
        <v>3</v>
      </c>
      <c r="F246" t="s">
        <v>13</v>
      </c>
      <c r="G246" t="s">
        <v>28</v>
      </c>
      <c r="H246" t="s">
        <v>18</v>
      </c>
      <c r="I246">
        <v>2</v>
      </c>
      <c r="J246" t="s">
        <v>53</v>
      </c>
      <c r="K246" t="s">
        <v>17</v>
      </c>
      <c r="L246">
        <v>52</v>
      </c>
      <c r="M246" t="str">
        <f t="shared" si="3"/>
        <v>Middle Age</v>
      </c>
      <c r="N246" t="s">
        <v>15</v>
      </c>
    </row>
    <row r="247" spans="1:14" x14ac:dyDescent="0.25">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3">
        <v>100000</v>
      </c>
      <c r="E249">
        <v>0</v>
      </c>
      <c r="F249" t="s">
        <v>27</v>
      </c>
      <c r="G249" t="s">
        <v>28</v>
      </c>
      <c r="H249" t="s">
        <v>15</v>
      </c>
      <c r="I249">
        <v>4</v>
      </c>
      <c r="J249" t="s">
        <v>53</v>
      </c>
      <c r="K249" t="s">
        <v>24</v>
      </c>
      <c r="L249">
        <v>34</v>
      </c>
      <c r="M249" t="str">
        <f t="shared" si="3"/>
        <v>Middle Age</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40</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40</v>
      </c>
      <c r="D255" s="3">
        <v>100000</v>
      </c>
      <c r="E255">
        <v>3</v>
      </c>
      <c r="F255" t="s">
        <v>29</v>
      </c>
      <c r="G255" t="s">
        <v>21</v>
      </c>
      <c r="H255" t="s">
        <v>15</v>
      </c>
      <c r="I255">
        <v>0</v>
      </c>
      <c r="J255" t="s">
        <v>53</v>
      </c>
      <c r="K255" t="s">
        <v>17</v>
      </c>
      <c r="L255">
        <v>59</v>
      </c>
      <c r="M255" t="str">
        <f t="shared" si="3"/>
        <v>Old</v>
      </c>
      <c r="N255" t="s">
        <v>15</v>
      </c>
    </row>
    <row r="256" spans="1:14" x14ac:dyDescent="0.25">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38</v>
      </c>
      <c r="C260" t="s">
        <v>39</v>
      </c>
      <c r="D260" s="3">
        <v>100000</v>
      </c>
      <c r="E260">
        <v>3</v>
      </c>
      <c r="F260" t="s">
        <v>19</v>
      </c>
      <c r="G260" t="s">
        <v>28</v>
      </c>
      <c r="H260" t="s">
        <v>15</v>
      </c>
      <c r="I260">
        <v>4</v>
      </c>
      <c r="J260" t="s">
        <v>53</v>
      </c>
      <c r="K260" t="s">
        <v>17</v>
      </c>
      <c r="L260">
        <v>56</v>
      </c>
      <c r="M260" t="str">
        <f t="shared" si="4"/>
        <v>Old</v>
      </c>
      <c r="N260" t="s">
        <v>18</v>
      </c>
    </row>
    <row r="261" spans="1:14" x14ac:dyDescent="0.25">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39</v>
      </c>
      <c r="D265" s="3">
        <v>70000</v>
      </c>
      <c r="E265">
        <v>5</v>
      </c>
      <c r="F265" t="s">
        <v>13</v>
      </c>
      <c r="G265" t="s">
        <v>21</v>
      </c>
      <c r="H265" t="s">
        <v>15</v>
      </c>
      <c r="I265">
        <v>3</v>
      </c>
      <c r="J265" t="s">
        <v>53</v>
      </c>
      <c r="K265" t="s">
        <v>24</v>
      </c>
      <c r="L265">
        <v>39</v>
      </c>
      <c r="M265" t="str">
        <f t="shared" si="4"/>
        <v>Middle Age</v>
      </c>
      <c r="N265" t="s">
        <v>18</v>
      </c>
    </row>
    <row r="266" spans="1:14" x14ac:dyDescent="0.25">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40</v>
      </c>
      <c r="D280" s="3">
        <v>100000</v>
      </c>
      <c r="E280">
        <v>0</v>
      </c>
      <c r="F280" t="s">
        <v>27</v>
      </c>
      <c r="G280" t="s">
        <v>28</v>
      </c>
      <c r="H280" t="s">
        <v>15</v>
      </c>
      <c r="I280">
        <v>3</v>
      </c>
      <c r="J280" t="s">
        <v>53</v>
      </c>
      <c r="K280" t="s">
        <v>24</v>
      </c>
      <c r="L280">
        <v>35</v>
      </c>
      <c r="M280" t="str">
        <f t="shared" si="4"/>
        <v>Middle Age</v>
      </c>
      <c r="N280" t="s">
        <v>15</v>
      </c>
    </row>
    <row r="281" spans="1:14" x14ac:dyDescent="0.25">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39</v>
      </c>
      <c r="D297" s="3">
        <v>110000</v>
      </c>
      <c r="E297">
        <v>0</v>
      </c>
      <c r="F297" t="s">
        <v>19</v>
      </c>
      <c r="G297" t="s">
        <v>28</v>
      </c>
      <c r="H297" t="s">
        <v>15</v>
      </c>
      <c r="I297">
        <v>3</v>
      </c>
      <c r="J297" t="s">
        <v>53</v>
      </c>
      <c r="K297" t="s">
        <v>24</v>
      </c>
      <c r="L297">
        <v>32</v>
      </c>
      <c r="M297" t="str">
        <f t="shared" si="4"/>
        <v>Middle Age</v>
      </c>
      <c r="N297" t="s">
        <v>15</v>
      </c>
    </row>
    <row r="298" spans="1:14" x14ac:dyDescent="0.2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40</v>
      </c>
      <c r="D320" s="3">
        <v>130000</v>
      </c>
      <c r="E320">
        <v>4</v>
      </c>
      <c r="F320" t="s">
        <v>19</v>
      </c>
      <c r="G320" t="s">
        <v>21</v>
      </c>
      <c r="H320" t="s">
        <v>18</v>
      </c>
      <c r="I320">
        <v>3</v>
      </c>
      <c r="J320" t="s">
        <v>53</v>
      </c>
      <c r="K320" t="s">
        <v>17</v>
      </c>
      <c r="L320">
        <v>54</v>
      </c>
      <c r="M320" t="str">
        <f t="shared" si="4"/>
        <v>Middle Age</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3">
        <v>90000</v>
      </c>
      <c r="E331">
        <v>5</v>
      </c>
      <c r="F331" t="s">
        <v>29</v>
      </c>
      <c r="G331" t="s">
        <v>14</v>
      </c>
      <c r="H331" t="s">
        <v>15</v>
      </c>
      <c r="I331">
        <v>2</v>
      </c>
      <c r="J331" t="s">
        <v>53</v>
      </c>
      <c r="K331" t="s">
        <v>17</v>
      </c>
      <c r="L331">
        <v>59</v>
      </c>
      <c r="M331" t="str">
        <f t="shared" si="5"/>
        <v>Old</v>
      </c>
      <c r="N331" t="s">
        <v>18</v>
      </c>
    </row>
    <row r="332" spans="1:14" x14ac:dyDescent="0.25">
      <c r="A332">
        <v>24898</v>
      </c>
      <c r="B332" t="s">
        <v>38</v>
      </c>
      <c r="C332" t="s">
        <v>39</v>
      </c>
      <c r="D332" s="3">
        <v>80000</v>
      </c>
      <c r="E332">
        <v>0</v>
      </c>
      <c r="F332" t="s">
        <v>13</v>
      </c>
      <c r="G332" t="s">
        <v>21</v>
      </c>
      <c r="H332" t="s">
        <v>15</v>
      </c>
      <c r="I332">
        <v>3</v>
      </c>
      <c r="J332" t="s">
        <v>53</v>
      </c>
      <c r="K332" t="s">
        <v>24</v>
      </c>
      <c r="L332">
        <v>32</v>
      </c>
      <c r="M332" t="str">
        <f t="shared" si="5"/>
        <v>Middle Age</v>
      </c>
      <c r="N332" t="s">
        <v>18</v>
      </c>
    </row>
    <row r="333" spans="1:14" x14ac:dyDescent="0.25">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40</v>
      </c>
      <c r="D357" s="3">
        <v>80000</v>
      </c>
      <c r="E357">
        <v>0</v>
      </c>
      <c r="F357" t="s">
        <v>13</v>
      </c>
      <c r="G357" t="s">
        <v>21</v>
      </c>
      <c r="H357" t="s">
        <v>15</v>
      </c>
      <c r="I357">
        <v>3</v>
      </c>
      <c r="J357" t="s">
        <v>53</v>
      </c>
      <c r="K357" t="s">
        <v>24</v>
      </c>
      <c r="L357">
        <v>32</v>
      </c>
      <c r="M357" t="str">
        <f t="shared" si="5"/>
        <v>Middle Age</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40</v>
      </c>
      <c r="D361" s="3">
        <v>80000</v>
      </c>
      <c r="E361">
        <v>0</v>
      </c>
      <c r="F361" t="s">
        <v>13</v>
      </c>
      <c r="G361" t="s">
        <v>21</v>
      </c>
      <c r="H361" t="s">
        <v>15</v>
      </c>
      <c r="I361">
        <v>3</v>
      </c>
      <c r="J361" t="s">
        <v>53</v>
      </c>
      <c r="K361" t="s">
        <v>24</v>
      </c>
      <c r="L361">
        <v>30</v>
      </c>
      <c r="M361" t="str">
        <f t="shared" si="5"/>
        <v>Adolescent</v>
      </c>
      <c r="N361" t="s">
        <v>18</v>
      </c>
    </row>
    <row r="362" spans="1:14" x14ac:dyDescent="0.25">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3">
        <v>100000</v>
      </c>
      <c r="E372">
        <v>4</v>
      </c>
      <c r="F372" t="s">
        <v>13</v>
      </c>
      <c r="G372" t="s">
        <v>21</v>
      </c>
      <c r="H372" t="s">
        <v>15</v>
      </c>
      <c r="I372">
        <v>1</v>
      </c>
      <c r="J372" t="s">
        <v>53</v>
      </c>
      <c r="K372" t="s">
        <v>24</v>
      </c>
      <c r="L372">
        <v>46</v>
      </c>
      <c r="M372" t="str">
        <f t="shared" si="5"/>
        <v>Middle Age</v>
      </c>
      <c r="N372" t="s">
        <v>18</v>
      </c>
    </row>
    <row r="373" spans="1:14" x14ac:dyDescent="0.25">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40</v>
      </c>
      <c r="D382" s="3">
        <v>70000</v>
      </c>
      <c r="E382">
        <v>0</v>
      </c>
      <c r="F382" t="s">
        <v>13</v>
      </c>
      <c r="G382" t="s">
        <v>21</v>
      </c>
      <c r="H382" t="s">
        <v>18</v>
      </c>
      <c r="I382">
        <v>3</v>
      </c>
      <c r="J382" t="s">
        <v>53</v>
      </c>
      <c r="K382" t="s">
        <v>24</v>
      </c>
      <c r="L382">
        <v>30</v>
      </c>
      <c r="M382" t="str">
        <f t="shared" si="5"/>
        <v>Adolescent</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40</v>
      </c>
      <c r="D384" s="3">
        <v>80000</v>
      </c>
      <c r="E384">
        <v>4</v>
      </c>
      <c r="F384" t="s">
        <v>19</v>
      </c>
      <c r="G384" t="s">
        <v>21</v>
      </c>
      <c r="H384" t="s">
        <v>15</v>
      </c>
      <c r="I384">
        <v>2</v>
      </c>
      <c r="J384" t="s">
        <v>53</v>
      </c>
      <c r="K384" t="s">
        <v>17</v>
      </c>
      <c r="L384">
        <v>53</v>
      </c>
      <c r="M384" t="str">
        <f t="shared" si="5"/>
        <v>Middle Age</v>
      </c>
      <c r="N384" t="s">
        <v>18</v>
      </c>
    </row>
    <row r="385" spans="1:14" x14ac:dyDescent="0.25">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38</v>
      </c>
      <c r="C387" t="s">
        <v>40</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38</v>
      </c>
      <c r="C388" t="s">
        <v>39</v>
      </c>
      <c r="D388" s="3">
        <v>120000</v>
      </c>
      <c r="E388">
        <v>0</v>
      </c>
      <c r="F388" t="s">
        <v>29</v>
      </c>
      <c r="G388" t="s">
        <v>21</v>
      </c>
      <c r="H388" t="s">
        <v>15</v>
      </c>
      <c r="I388">
        <v>4</v>
      </c>
      <c r="J388" t="s">
        <v>53</v>
      </c>
      <c r="K388" t="s">
        <v>24</v>
      </c>
      <c r="L388">
        <v>34</v>
      </c>
      <c r="M388" t="str">
        <f t="shared" si="6"/>
        <v>Middle Age</v>
      </c>
      <c r="N388" t="s">
        <v>15</v>
      </c>
    </row>
    <row r="389" spans="1:14" x14ac:dyDescent="0.2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39</v>
      </c>
      <c r="D402" s="3">
        <v>110000</v>
      </c>
      <c r="E402">
        <v>3</v>
      </c>
      <c r="F402" t="s">
        <v>13</v>
      </c>
      <c r="G402" t="s">
        <v>28</v>
      </c>
      <c r="H402" t="s">
        <v>15</v>
      </c>
      <c r="I402">
        <v>4</v>
      </c>
      <c r="J402" t="s">
        <v>53</v>
      </c>
      <c r="K402" t="s">
        <v>17</v>
      </c>
      <c r="L402">
        <v>53</v>
      </c>
      <c r="M402" t="str">
        <f t="shared" si="6"/>
        <v>Middle Age</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3">
        <v>100000</v>
      </c>
      <c r="E422">
        <v>2</v>
      </c>
      <c r="F422" t="s">
        <v>13</v>
      </c>
      <c r="G422" t="s">
        <v>28</v>
      </c>
      <c r="H422" t="s">
        <v>15</v>
      </c>
      <c r="I422">
        <v>4</v>
      </c>
      <c r="J422" t="s">
        <v>53</v>
      </c>
      <c r="K422" t="s">
        <v>17</v>
      </c>
      <c r="L422">
        <v>59</v>
      </c>
      <c r="M422" t="str">
        <f t="shared" si="6"/>
        <v>Old</v>
      </c>
      <c r="N422" t="s">
        <v>18</v>
      </c>
    </row>
    <row r="423" spans="1:14" x14ac:dyDescent="0.25">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40</v>
      </c>
      <c r="D424" s="3">
        <v>110000</v>
      </c>
      <c r="E424">
        <v>0</v>
      </c>
      <c r="F424" t="s">
        <v>19</v>
      </c>
      <c r="G424" t="s">
        <v>28</v>
      </c>
      <c r="H424" t="s">
        <v>18</v>
      </c>
      <c r="I424">
        <v>3</v>
      </c>
      <c r="J424" t="s">
        <v>53</v>
      </c>
      <c r="K424" t="s">
        <v>24</v>
      </c>
      <c r="L424">
        <v>32</v>
      </c>
      <c r="M424" t="str">
        <f t="shared" si="6"/>
        <v>Middle Age</v>
      </c>
      <c r="N424" t="s">
        <v>15</v>
      </c>
    </row>
    <row r="425" spans="1:14" x14ac:dyDescent="0.25">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39</v>
      </c>
      <c r="D434" s="3">
        <v>110000</v>
      </c>
      <c r="E434">
        <v>0</v>
      </c>
      <c r="F434" t="s">
        <v>27</v>
      </c>
      <c r="G434" t="s">
        <v>28</v>
      </c>
      <c r="H434" t="s">
        <v>15</v>
      </c>
      <c r="I434">
        <v>3</v>
      </c>
      <c r="J434" t="s">
        <v>53</v>
      </c>
      <c r="K434" t="s">
        <v>24</v>
      </c>
      <c r="L434">
        <v>34</v>
      </c>
      <c r="M434" t="str">
        <f t="shared" si="6"/>
        <v>Middle Age</v>
      </c>
      <c r="N434" t="s">
        <v>15</v>
      </c>
    </row>
    <row r="435" spans="1:14" x14ac:dyDescent="0.2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40</v>
      </c>
      <c r="D442" s="3">
        <v>90000</v>
      </c>
      <c r="E442">
        <v>0</v>
      </c>
      <c r="F442" t="s">
        <v>13</v>
      </c>
      <c r="G442" t="s">
        <v>21</v>
      </c>
      <c r="H442" t="s">
        <v>18</v>
      </c>
      <c r="I442">
        <v>3</v>
      </c>
      <c r="J442" t="s">
        <v>53</v>
      </c>
      <c r="K442" t="s">
        <v>24</v>
      </c>
      <c r="L442">
        <v>34</v>
      </c>
      <c r="M442" t="str">
        <f t="shared" si="6"/>
        <v>Middle Age</v>
      </c>
      <c r="N442" t="s">
        <v>15</v>
      </c>
    </row>
    <row r="443" spans="1:14" x14ac:dyDescent="0.25">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3">
        <v>130000</v>
      </c>
      <c r="E448">
        <v>0</v>
      </c>
      <c r="F448" t="s">
        <v>31</v>
      </c>
      <c r="G448" t="s">
        <v>28</v>
      </c>
      <c r="H448" t="s">
        <v>15</v>
      </c>
      <c r="I448">
        <v>1</v>
      </c>
      <c r="J448" t="s">
        <v>53</v>
      </c>
      <c r="K448" t="s">
        <v>24</v>
      </c>
      <c r="L448">
        <v>48</v>
      </c>
      <c r="M448" t="str">
        <f t="shared" si="6"/>
        <v>Middle Age</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40</v>
      </c>
      <c r="D460" s="3">
        <v>120000</v>
      </c>
      <c r="E460">
        <v>0</v>
      </c>
      <c r="F460" t="s">
        <v>29</v>
      </c>
      <c r="G460" t="s">
        <v>21</v>
      </c>
      <c r="H460" t="s">
        <v>15</v>
      </c>
      <c r="I460">
        <v>4</v>
      </c>
      <c r="J460" t="s">
        <v>53</v>
      </c>
      <c r="K460" t="s">
        <v>24</v>
      </c>
      <c r="L460">
        <v>32</v>
      </c>
      <c r="M460" t="str">
        <f t="shared" si="7"/>
        <v>Middle Age</v>
      </c>
      <c r="N460" t="s">
        <v>15</v>
      </c>
    </row>
    <row r="461" spans="1:14" x14ac:dyDescent="0.25">
      <c r="A461">
        <v>21554</v>
      </c>
      <c r="B461" t="s">
        <v>38</v>
      </c>
      <c r="C461" t="s">
        <v>39</v>
      </c>
      <c r="D461" s="3">
        <v>80000</v>
      </c>
      <c r="E461">
        <v>0</v>
      </c>
      <c r="F461" t="s">
        <v>13</v>
      </c>
      <c r="G461" t="s">
        <v>21</v>
      </c>
      <c r="H461" t="s">
        <v>18</v>
      </c>
      <c r="I461">
        <v>3</v>
      </c>
      <c r="J461" t="s">
        <v>53</v>
      </c>
      <c r="K461" t="s">
        <v>24</v>
      </c>
      <c r="L461">
        <v>33</v>
      </c>
      <c r="M461" t="str">
        <f t="shared" si="7"/>
        <v>Middle Age</v>
      </c>
      <c r="N461" t="s">
        <v>18</v>
      </c>
    </row>
    <row r="462" spans="1:14" x14ac:dyDescent="0.25">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3">
        <v>90000</v>
      </c>
      <c r="E488">
        <v>4</v>
      </c>
      <c r="F488" t="s">
        <v>29</v>
      </c>
      <c r="G488" t="s">
        <v>14</v>
      </c>
      <c r="H488" t="s">
        <v>15</v>
      </c>
      <c r="I488">
        <v>4</v>
      </c>
      <c r="J488" t="s">
        <v>53</v>
      </c>
      <c r="K488" t="s">
        <v>17</v>
      </c>
      <c r="L488">
        <v>58</v>
      </c>
      <c r="M488" t="str">
        <f t="shared" si="7"/>
        <v>Old</v>
      </c>
      <c r="N488" t="s">
        <v>18</v>
      </c>
    </row>
    <row r="489" spans="1:14" x14ac:dyDescent="0.25">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40</v>
      </c>
      <c r="D495" s="3">
        <v>70000</v>
      </c>
      <c r="E495">
        <v>5</v>
      </c>
      <c r="F495" t="s">
        <v>13</v>
      </c>
      <c r="G495" t="s">
        <v>28</v>
      </c>
      <c r="H495" t="s">
        <v>15</v>
      </c>
      <c r="I495">
        <v>3</v>
      </c>
      <c r="J495" t="s">
        <v>53</v>
      </c>
      <c r="K495" t="s">
        <v>32</v>
      </c>
      <c r="L495">
        <v>60</v>
      </c>
      <c r="M495" t="str">
        <f t="shared" si="7"/>
        <v>Old</v>
      </c>
      <c r="N495" t="s">
        <v>15</v>
      </c>
    </row>
    <row r="496" spans="1:14" x14ac:dyDescent="0.25">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40</v>
      </c>
      <c r="D497" s="3">
        <v>60000</v>
      </c>
      <c r="E497">
        <v>2</v>
      </c>
      <c r="F497" t="s">
        <v>19</v>
      </c>
      <c r="G497" t="s">
        <v>21</v>
      </c>
      <c r="H497" t="s">
        <v>15</v>
      </c>
      <c r="I497">
        <v>2</v>
      </c>
      <c r="J497" t="s">
        <v>53</v>
      </c>
      <c r="K497" t="s">
        <v>32</v>
      </c>
      <c r="L497">
        <v>56</v>
      </c>
      <c r="M497" t="str">
        <f t="shared" si="7"/>
        <v>Old</v>
      </c>
      <c r="N497" t="s">
        <v>18</v>
      </c>
    </row>
    <row r="498" spans="1:14" x14ac:dyDescent="0.2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39</v>
      </c>
      <c r="D515" s="3">
        <v>60000</v>
      </c>
      <c r="E515">
        <v>4</v>
      </c>
      <c r="F515" t="s">
        <v>31</v>
      </c>
      <c r="G515" t="s">
        <v>28</v>
      </c>
      <c r="H515" t="s">
        <v>15</v>
      </c>
      <c r="I515">
        <v>2</v>
      </c>
      <c r="J515" t="s">
        <v>53</v>
      </c>
      <c r="K515" t="s">
        <v>32</v>
      </c>
      <c r="L515">
        <v>61</v>
      </c>
      <c r="M515" t="str">
        <f t="shared" ref="M515:M578" si="8">IF(L515&gt;54,"Old",IF(L515&gt;=31,"Middle Age",IF(L515&lt;31,"Adolescent","Invalid")))</f>
        <v>Old</v>
      </c>
      <c r="N515" t="s">
        <v>15</v>
      </c>
    </row>
    <row r="516" spans="1:14" x14ac:dyDescent="0.25">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40</v>
      </c>
      <c r="D523" s="3">
        <v>40000</v>
      </c>
      <c r="E523">
        <v>4</v>
      </c>
      <c r="F523" t="s">
        <v>27</v>
      </c>
      <c r="G523" t="s">
        <v>21</v>
      </c>
      <c r="H523" t="s">
        <v>15</v>
      </c>
      <c r="I523">
        <v>2</v>
      </c>
      <c r="J523" t="s">
        <v>53</v>
      </c>
      <c r="K523" t="s">
        <v>32</v>
      </c>
      <c r="L523">
        <v>62</v>
      </c>
      <c r="M523" t="str">
        <f t="shared" si="8"/>
        <v>Old</v>
      </c>
      <c r="N523" t="s">
        <v>15</v>
      </c>
    </row>
    <row r="524" spans="1:14" x14ac:dyDescent="0.25">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40</v>
      </c>
      <c r="D527" s="3">
        <v>60000</v>
      </c>
      <c r="E527">
        <v>5</v>
      </c>
      <c r="F527" t="s">
        <v>13</v>
      </c>
      <c r="G527" t="s">
        <v>28</v>
      </c>
      <c r="H527" t="s">
        <v>15</v>
      </c>
      <c r="I527">
        <v>3</v>
      </c>
      <c r="J527" t="s">
        <v>53</v>
      </c>
      <c r="K527" t="s">
        <v>32</v>
      </c>
      <c r="L527">
        <v>59</v>
      </c>
      <c r="M527" t="str">
        <f t="shared" si="8"/>
        <v>Old</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40</v>
      </c>
      <c r="D531" s="3">
        <v>60000</v>
      </c>
      <c r="E531">
        <v>2</v>
      </c>
      <c r="F531" t="s">
        <v>19</v>
      </c>
      <c r="G531" t="s">
        <v>21</v>
      </c>
      <c r="H531" t="s">
        <v>15</v>
      </c>
      <c r="I531">
        <v>1</v>
      </c>
      <c r="J531" t="s">
        <v>53</v>
      </c>
      <c r="K531" t="s">
        <v>32</v>
      </c>
      <c r="L531">
        <v>57</v>
      </c>
      <c r="M531" t="str">
        <f t="shared" si="8"/>
        <v>Old</v>
      </c>
      <c r="N531" t="s">
        <v>15</v>
      </c>
    </row>
    <row r="532" spans="1:14" x14ac:dyDescent="0.25">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40</v>
      </c>
      <c r="D535" s="3">
        <v>60000</v>
      </c>
      <c r="E535">
        <v>3</v>
      </c>
      <c r="F535" t="s">
        <v>13</v>
      </c>
      <c r="G535" t="s">
        <v>28</v>
      </c>
      <c r="H535" t="s">
        <v>15</v>
      </c>
      <c r="I535">
        <v>2</v>
      </c>
      <c r="J535" t="s">
        <v>53</v>
      </c>
      <c r="K535" t="s">
        <v>32</v>
      </c>
      <c r="L535">
        <v>66</v>
      </c>
      <c r="M535" t="str">
        <f t="shared" si="8"/>
        <v>Old</v>
      </c>
      <c r="N535" t="s">
        <v>18</v>
      </c>
    </row>
    <row r="536" spans="1:14" x14ac:dyDescent="0.25">
      <c r="A536">
        <v>24637</v>
      </c>
      <c r="B536" t="s">
        <v>37</v>
      </c>
      <c r="C536" t="s">
        <v>40</v>
      </c>
      <c r="D536" s="3">
        <v>40000</v>
      </c>
      <c r="E536">
        <v>4</v>
      </c>
      <c r="F536" t="s">
        <v>27</v>
      </c>
      <c r="G536" t="s">
        <v>21</v>
      </c>
      <c r="H536" t="s">
        <v>15</v>
      </c>
      <c r="I536">
        <v>2</v>
      </c>
      <c r="J536" t="s">
        <v>53</v>
      </c>
      <c r="K536" t="s">
        <v>32</v>
      </c>
      <c r="L536">
        <v>64</v>
      </c>
      <c r="M536" t="str">
        <f t="shared" si="8"/>
        <v>Old</v>
      </c>
      <c r="N536" t="s">
        <v>18</v>
      </c>
    </row>
    <row r="537" spans="1:14" x14ac:dyDescent="0.25">
      <c r="A537">
        <v>23893</v>
      </c>
      <c r="B537" t="s">
        <v>37</v>
      </c>
      <c r="C537" t="s">
        <v>40</v>
      </c>
      <c r="D537" s="3">
        <v>50000</v>
      </c>
      <c r="E537">
        <v>3</v>
      </c>
      <c r="F537" t="s">
        <v>13</v>
      </c>
      <c r="G537" t="s">
        <v>14</v>
      </c>
      <c r="H537" t="s">
        <v>15</v>
      </c>
      <c r="I537">
        <v>3</v>
      </c>
      <c r="J537" t="s">
        <v>53</v>
      </c>
      <c r="K537" t="s">
        <v>32</v>
      </c>
      <c r="L537">
        <v>41</v>
      </c>
      <c r="M537" t="str">
        <f t="shared" si="8"/>
        <v>Middle Age</v>
      </c>
      <c r="N537" t="s">
        <v>18</v>
      </c>
    </row>
    <row r="538" spans="1:14" x14ac:dyDescent="0.2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40</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3">
        <v>50000</v>
      </c>
      <c r="E553">
        <v>4</v>
      </c>
      <c r="F553" t="s">
        <v>13</v>
      </c>
      <c r="G553" t="s">
        <v>28</v>
      </c>
      <c r="H553" t="s">
        <v>15</v>
      </c>
      <c r="I553">
        <v>2</v>
      </c>
      <c r="J553" t="s">
        <v>53</v>
      </c>
      <c r="K553" t="s">
        <v>32</v>
      </c>
      <c r="L553">
        <v>63</v>
      </c>
      <c r="M553" t="str">
        <f t="shared" si="8"/>
        <v>Old</v>
      </c>
      <c r="N553" t="s">
        <v>18</v>
      </c>
    </row>
    <row r="554" spans="1:14" x14ac:dyDescent="0.25">
      <c r="A554">
        <v>14417</v>
      </c>
      <c r="B554" t="s">
        <v>38</v>
      </c>
      <c r="C554" t="s">
        <v>40</v>
      </c>
      <c r="D554" s="3">
        <v>60000</v>
      </c>
      <c r="E554">
        <v>3</v>
      </c>
      <c r="F554" t="s">
        <v>27</v>
      </c>
      <c r="G554" t="s">
        <v>21</v>
      </c>
      <c r="H554" t="s">
        <v>15</v>
      </c>
      <c r="I554">
        <v>2</v>
      </c>
      <c r="J554" t="s">
        <v>53</v>
      </c>
      <c r="K554" t="s">
        <v>32</v>
      </c>
      <c r="L554">
        <v>54</v>
      </c>
      <c r="M554" t="str">
        <f t="shared" si="8"/>
        <v>Middle Age</v>
      </c>
      <c r="N554" t="s">
        <v>15</v>
      </c>
    </row>
    <row r="555" spans="1:14" x14ac:dyDescent="0.25">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39</v>
      </c>
      <c r="D561" s="3">
        <v>60000</v>
      </c>
      <c r="E561">
        <v>2</v>
      </c>
      <c r="F561" t="s">
        <v>13</v>
      </c>
      <c r="G561" t="s">
        <v>28</v>
      </c>
      <c r="H561" t="s">
        <v>15</v>
      </c>
      <c r="I561">
        <v>0</v>
      </c>
      <c r="J561" t="s">
        <v>53</v>
      </c>
      <c r="K561" t="s">
        <v>32</v>
      </c>
      <c r="L561">
        <v>58</v>
      </c>
      <c r="M561" t="str">
        <f t="shared" si="8"/>
        <v>Old</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40</v>
      </c>
      <c r="D571" s="3">
        <v>50000</v>
      </c>
      <c r="E571">
        <v>3</v>
      </c>
      <c r="F571" t="s">
        <v>31</v>
      </c>
      <c r="G571" t="s">
        <v>28</v>
      </c>
      <c r="H571" t="s">
        <v>15</v>
      </c>
      <c r="I571">
        <v>2</v>
      </c>
      <c r="J571" t="s">
        <v>53</v>
      </c>
      <c r="K571" t="s">
        <v>32</v>
      </c>
      <c r="L571">
        <v>69</v>
      </c>
      <c r="M571" t="str">
        <f t="shared" si="8"/>
        <v>Old</v>
      </c>
      <c r="N571" t="s">
        <v>18</v>
      </c>
    </row>
    <row r="572" spans="1:14" x14ac:dyDescent="0.25">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40</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40</v>
      </c>
      <c r="D577" s="3">
        <v>60000</v>
      </c>
      <c r="E577">
        <v>2</v>
      </c>
      <c r="F577" t="s">
        <v>19</v>
      </c>
      <c r="G577" t="s">
        <v>21</v>
      </c>
      <c r="H577" t="s">
        <v>15</v>
      </c>
      <c r="I577">
        <v>1</v>
      </c>
      <c r="J577" t="s">
        <v>53</v>
      </c>
      <c r="K577" t="s">
        <v>32</v>
      </c>
      <c r="L577">
        <v>56</v>
      </c>
      <c r="M577" t="str">
        <f t="shared" si="8"/>
        <v>Old</v>
      </c>
      <c r="N577" t="s">
        <v>18</v>
      </c>
    </row>
    <row r="578" spans="1:14" x14ac:dyDescent="0.2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40</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3">
        <v>60000</v>
      </c>
      <c r="E582">
        <v>3</v>
      </c>
      <c r="F582" t="s">
        <v>31</v>
      </c>
      <c r="G582" t="s">
        <v>28</v>
      </c>
      <c r="H582" t="s">
        <v>15</v>
      </c>
      <c r="I582">
        <v>2</v>
      </c>
      <c r="J582" t="s">
        <v>53</v>
      </c>
      <c r="K582" t="s">
        <v>32</v>
      </c>
      <c r="L582">
        <v>69</v>
      </c>
      <c r="M582" t="str">
        <f t="shared" si="9"/>
        <v>Old</v>
      </c>
      <c r="N582" t="s">
        <v>18</v>
      </c>
    </row>
    <row r="583" spans="1:14" x14ac:dyDescent="0.25">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40</v>
      </c>
      <c r="D585" s="3">
        <v>60000</v>
      </c>
      <c r="E585">
        <v>3</v>
      </c>
      <c r="F585" t="s">
        <v>13</v>
      </c>
      <c r="G585" t="s">
        <v>28</v>
      </c>
      <c r="H585" t="s">
        <v>15</v>
      </c>
      <c r="I585">
        <v>2</v>
      </c>
      <c r="J585" t="s">
        <v>53</v>
      </c>
      <c r="K585" t="s">
        <v>32</v>
      </c>
      <c r="L585">
        <v>66</v>
      </c>
      <c r="M585" t="str">
        <f t="shared" si="9"/>
        <v>Old</v>
      </c>
      <c r="N585" t="s">
        <v>18</v>
      </c>
    </row>
    <row r="586" spans="1:14" x14ac:dyDescent="0.25">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3">
        <v>90000</v>
      </c>
      <c r="E590">
        <v>2</v>
      </c>
      <c r="F590" t="s">
        <v>27</v>
      </c>
      <c r="G590" t="s">
        <v>21</v>
      </c>
      <c r="H590" t="s">
        <v>15</v>
      </c>
      <c r="I590">
        <v>1</v>
      </c>
      <c r="J590" t="s">
        <v>53</v>
      </c>
      <c r="K590" t="s">
        <v>32</v>
      </c>
      <c r="L590">
        <v>51</v>
      </c>
      <c r="M590" t="str">
        <f t="shared" si="9"/>
        <v>Middle Age</v>
      </c>
      <c r="N590" t="s">
        <v>15</v>
      </c>
    </row>
    <row r="591" spans="1:14" x14ac:dyDescent="0.25">
      <c r="A591">
        <v>12100</v>
      </c>
      <c r="B591" t="s">
        <v>38</v>
      </c>
      <c r="C591" t="s">
        <v>40</v>
      </c>
      <c r="D591" s="3">
        <v>60000</v>
      </c>
      <c r="E591">
        <v>2</v>
      </c>
      <c r="F591" t="s">
        <v>13</v>
      </c>
      <c r="G591" t="s">
        <v>28</v>
      </c>
      <c r="H591" t="s">
        <v>15</v>
      </c>
      <c r="I591">
        <v>0</v>
      </c>
      <c r="J591" t="s">
        <v>53</v>
      </c>
      <c r="K591" t="s">
        <v>32</v>
      </c>
      <c r="L591">
        <v>57</v>
      </c>
      <c r="M591" t="str">
        <f t="shared" si="9"/>
        <v>Old</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40</v>
      </c>
      <c r="D593" s="3">
        <v>40000</v>
      </c>
      <c r="E593">
        <v>4</v>
      </c>
      <c r="F593" t="s">
        <v>27</v>
      </c>
      <c r="G593" t="s">
        <v>21</v>
      </c>
      <c r="H593" t="s">
        <v>18</v>
      </c>
      <c r="I593">
        <v>2</v>
      </c>
      <c r="J593" t="s">
        <v>53</v>
      </c>
      <c r="K593" t="s">
        <v>32</v>
      </c>
      <c r="L593">
        <v>61</v>
      </c>
      <c r="M593" t="str">
        <f t="shared" si="9"/>
        <v>Old</v>
      </c>
      <c r="N593" t="s">
        <v>15</v>
      </c>
    </row>
    <row r="594" spans="1:14" x14ac:dyDescent="0.2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39</v>
      </c>
      <c r="D609" s="3">
        <v>70000</v>
      </c>
      <c r="E609">
        <v>5</v>
      </c>
      <c r="F609" t="s">
        <v>31</v>
      </c>
      <c r="G609" t="s">
        <v>21</v>
      </c>
      <c r="H609" t="s">
        <v>15</v>
      </c>
      <c r="I609">
        <v>3</v>
      </c>
      <c r="J609" t="s">
        <v>53</v>
      </c>
      <c r="K609" t="s">
        <v>32</v>
      </c>
      <c r="L609">
        <v>46</v>
      </c>
      <c r="M609" t="str">
        <f t="shared" si="9"/>
        <v>Middle Age</v>
      </c>
      <c r="N609" t="s">
        <v>15</v>
      </c>
    </row>
    <row r="610" spans="1:14" x14ac:dyDescent="0.25">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40</v>
      </c>
      <c r="D643" s="3">
        <v>50000</v>
      </c>
      <c r="E643">
        <v>4</v>
      </c>
      <c r="F643" t="s">
        <v>13</v>
      </c>
      <c r="G643" t="s">
        <v>28</v>
      </c>
      <c r="H643" t="s">
        <v>15</v>
      </c>
      <c r="I643">
        <v>2</v>
      </c>
      <c r="J643" t="s">
        <v>53</v>
      </c>
      <c r="K643" t="s">
        <v>32</v>
      </c>
      <c r="L643">
        <v>64</v>
      </c>
      <c r="M643" t="str">
        <f t="shared" ref="M643:M706" si="10">IF(L643&gt;54,"Old",IF(L643&gt;=31,"Middle Age",IF(L643&lt;31,"Adolescent","Invalid")))</f>
        <v>Old</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3">
        <v>60000</v>
      </c>
      <c r="E646">
        <v>5</v>
      </c>
      <c r="F646" t="s">
        <v>13</v>
      </c>
      <c r="G646" t="s">
        <v>14</v>
      </c>
      <c r="H646" t="s">
        <v>15</v>
      </c>
      <c r="I646">
        <v>3</v>
      </c>
      <c r="J646" t="s">
        <v>53</v>
      </c>
      <c r="K646" t="s">
        <v>32</v>
      </c>
      <c r="L646">
        <v>41</v>
      </c>
      <c r="M646" t="str">
        <f t="shared" si="10"/>
        <v>Middle Age</v>
      </c>
      <c r="N646" t="s">
        <v>18</v>
      </c>
    </row>
    <row r="647" spans="1:14" x14ac:dyDescent="0.2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39</v>
      </c>
      <c r="D652" s="3">
        <v>70000</v>
      </c>
      <c r="E652">
        <v>5</v>
      </c>
      <c r="F652" t="s">
        <v>31</v>
      </c>
      <c r="G652" t="s">
        <v>28</v>
      </c>
      <c r="H652" t="s">
        <v>15</v>
      </c>
      <c r="I652">
        <v>2</v>
      </c>
      <c r="J652" t="s">
        <v>53</v>
      </c>
      <c r="K652" t="s">
        <v>32</v>
      </c>
      <c r="L652">
        <v>67</v>
      </c>
      <c r="M652" t="str">
        <f t="shared" si="10"/>
        <v>Old</v>
      </c>
      <c r="N652" t="s">
        <v>15</v>
      </c>
    </row>
    <row r="653" spans="1:14" x14ac:dyDescent="0.25">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39</v>
      </c>
      <c r="D661" s="3">
        <v>60000</v>
      </c>
      <c r="E661">
        <v>4</v>
      </c>
      <c r="F661" t="s">
        <v>13</v>
      </c>
      <c r="G661" t="s">
        <v>28</v>
      </c>
      <c r="H661" t="s">
        <v>15</v>
      </c>
      <c r="I661">
        <v>2</v>
      </c>
      <c r="J661" t="s">
        <v>53</v>
      </c>
      <c r="K661" t="s">
        <v>32</v>
      </c>
      <c r="L661">
        <v>63</v>
      </c>
      <c r="M661" t="str">
        <f t="shared" si="10"/>
        <v>Old</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3">
        <v>40000</v>
      </c>
      <c r="E669">
        <v>5</v>
      </c>
      <c r="F669" t="s">
        <v>27</v>
      </c>
      <c r="G669" t="s">
        <v>21</v>
      </c>
      <c r="H669" t="s">
        <v>18</v>
      </c>
      <c r="I669">
        <v>2</v>
      </c>
      <c r="J669" t="s">
        <v>53</v>
      </c>
      <c r="K669" t="s">
        <v>32</v>
      </c>
      <c r="L669">
        <v>61</v>
      </c>
      <c r="M669" t="str">
        <f t="shared" si="10"/>
        <v>Old</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40</v>
      </c>
      <c r="D672" s="3">
        <v>70000</v>
      </c>
      <c r="E672">
        <v>2</v>
      </c>
      <c r="F672" t="s">
        <v>19</v>
      </c>
      <c r="G672" t="s">
        <v>21</v>
      </c>
      <c r="H672" t="s">
        <v>15</v>
      </c>
      <c r="I672">
        <v>1</v>
      </c>
      <c r="J672" t="s">
        <v>53</v>
      </c>
      <c r="K672" t="s">
        <v>32</v>
      </c>
      <c r="L672">
        <v>59</v>
      </c>
      <c r="M672" t="str">
        <f t="shared" si="10"/>
        <v>Old</v>
      </c>
      <c r="N672" t="s">
        <v>18</v>
      </c>
    </row>
    <row r="673" spans="1:14" x14ac:dyDescent="0.2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40</v>
      </c>
      <c r="D681" s="3">
        <v>60000</v>
      </c>
      <c r="E681">
        <v>4</v>
      </c>
      <c r="F681" t="s">
        <v>13</v>
      </c>
      <c r="G681" t="s">
        <v>28</v>
      </c>
      <c r="H681" t="s">
        <v>15</v>
      </c>
      <c r="I681">
        <v>2</v>
      </c>
      <c r="J681" t="s">
        <v>53</v>
      </c>
      <c r="K681" t="s">
        <v>32</v>
      </c>
      <c r="L681">
        <v>60</v>
      </c>
      <c r="M681" t="str">
        <f t="shared" si="10"/>
        <v>Old</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39</v>
      </c>
      <c r="D707" s="3">
        <v>70000</v>
      </c>
      <c r="E707">
        <v>4</v>
      </c>
      <c r="F707" t="s">
        <v>13</v>
      </c>
      <c r="G707" t="s">
        <v>28</v>
      </c>
      <c r="H707" t="s">
        <v>15</v>
      </c>
      <c r="I707">
        <v>1</v>
      </c>
      <c r="J707" t="s">
        <v>53</v>
      </c>
      <c r="K707" t="s">
        <v>32</v>
      </c>
      <c r="L707">
        <v>59</v>
      </c>
      <c r="M707" t="str">
        <f t="shared" ref="M707:M770" si="11">IF(L707&gt;54,"Old",IF(L707&gt;=31,"Middle Age",IF(L707&lt;31,"Adolescent","Invalid")))</f>
        <v>Old</v>
      </c>
      <c r="N707" t="s">
        <v>18</v>
      </c>
    </row>
    <row r="708" spans="1:14" x14ac:dyDescent="0.2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40</v>
      </c>
      <c r="D710" s="3">
        <v>70000</v>
      </c>
      <c r="E710">
        <v>5</v>
      </c>
      <c r="F710" t="s">
        <v>13</v>
      </c>
      <c r="G710" t="s">
        <v>28</v>
      </c>
      <c r="H710" t="s">
        <v>15</v>
      </c>
      <c r="I710">
        <v>4</v>
      </c>
      <c r="J710" t="s">
        <v>53</v>
      </c>
      <c r="K710" t="s">
        <v>32</v>
      </c>
      <c r="L710">
        <v>60</v>
      </c>
      <c r="M710" t="str">
        <f t="shared" si="11"/>
        <v>Old</v>
      </c>
      <c r="N710" t="s">
        <v>18</v>
      </c>
    </row>
    <row r="711" spans="1:14" x14ac:dyDescent="0.25">
      <c r="A711">
        <v>23712</v>
      </c>
      <c r="B711" t="s">
        <v>38</v>
      </c>
      <c r="C711" t="s">
        <v>39</v>
      </c>
      <c r="D711" s="3">
        <v>70000</v>
      </c>
      <c r="E711">
        <v>2</v>
      </c>
      <c r="F711" t="s">
        <v>13</v>
      </c>
      <c r="G711" t="s">
        <v>28</v>
      </c>
      <c r="H711" t="s">
        <v>15</v>
      </c>
      <c r="I711">
        <v>1</v>
      </c>
      <c r="J711" t="s">
        <v>53</v>
      </c>
      <c r="K711" t="s">
        <v>32</v>
      </c>
      <c r="L711">
        <v>59</v>
      </c>
      <c r="M711" t="str">
        <f t="shared" si="11"/>
        <v>Old</v>
      </c>
      <c r="N711" t="s">
        <v>18</v>
      </c>
    </row>
    <row r="712" spans="1:14" x14ac:dyDescent="0.25">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3">
        <v>70000</v>
      </c>
      <c r="E713">
        <v>2</v>
      </c>
      <c r="F713" t="s">
        <v>19</v>
      </c>
      <c r="G713" t="s">
        <v>21</v>
      </c>
      <c r="H713" t="s">
        <v>15</v>
      </c>
      <c r="I713">
        <v>1</v>
      </c>
      <c r="J713" t="s">
        <v>53</v>
      </c>
      <c r="K713" t="s">
        <v>32</v>
      </c>
      <c r="L713">
        <v>58</v>
      </c>
      <c r="M713" t="str">
        <f t="shared" si="11"/>
        <v>Old</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3">
        <v>60000</v>
      </c>
      <c r="E741">
        <v>2</v>
      </c>
      <c r="F741" t="s">
        <v>19</v>
      </c>
      <c r="G741" t="s">
        <v>21</v>
      </c>
      <c r="H741" t="s">
        <v>15</v>
      </c>
      <c r="I741">
        <v>1</v>
      </c>
      <c r="J741" t="s">
        <v>53</v>
      </c>
      <c r="K741" t="s">
        <v>32</v>
      </c>
      <c r="L741">
        <v>55</v>
      </c>
      <c r="M741" t="str">
        <f t="shared" si="11"/>
        <v>Old</v>
      </c>
      <c r="N741" t="s">
        <v>18</v>
      </c>
    </row>
    <row r="742" spans="1:14" x14ac:dyDescent="0.25">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3">
        <v>70000</v>
      </c>
      <c r="E746">
        <v>4</v>
      </c>
      <c r="F746" t="s">
        <v>19</v>
      </c>
      <c r="G746" t="s">
        <v>21</v>
      </c>
      <c r="H746" t="s">
        <v>15</v>
      </c>
      <c r="I746">
        <v>1</v>
      </c>
      <c r="J746" t="s">
        <v>53</v>
      </c>
      <c r="K746" t="s">
        <v>32</v>
      </c>
      <c r="L746">
        <v>56</v>
      </c>
      <c r="M746" t="str">
        <f t="shared" si="11"/>
        <v>Old</v>
      </c>
      <c r="N746" t="s">
        <v>18</v>
      </c>
    </row>
    <row r="747" spans="1:14" x14ac:dyDescent="0.25">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3">
        <v>60000</v>
      </c>
      <c r="E748">
        <v>2</v>
      </c>
      <c r="F748" t="s">
        <v>13</v>
      </c>
      <c r="G748" t="s">
        <v>28</v>
      </c>
      <c r="H748" t="s">
        <v>15</v>
      </c>
      <c r="I748">
        <v>0</v>
      </c>
      <c r="J748" t="s">
        <v>53</v>
      </c>
      <c r="K748" t="s">
        <v>32</v>
      </c>
      <c r="L748">
        <v>56</v>
      </c>
      <c r="M748" t="str">
        <f t="shared" si="11"/>
        <v>Old</v>
      </c>
      <c r="N748" t="s">
        <v>18</v>
      </c>
    </row>
    <row r="749" spans="1:14" x14ac:dyDescent="0.2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3">
        <v>60000</v>
      </c>
      <c r="E763">
        <v>5</v>
      </c>
      <c r="F763" t="s">
        <v>13</v>
      </c>
      <c r="G763" t="s">
        <v>28</v>
      </c>
      <c r="H763" t="s">
        <v>15</v>
      </c>
      <c r="I763">
        <v>3</v>
      </c>
      <c r="J763" t="s">
        <v>53</v>
      </c>
      <c r="K763" t="s">
        <v>32</v>
      </c>
      <c r="L763">
        <v>59</v>
      </c>
      <c r="M763" t="str">
        <f t="shared" si="11"/>
        <v>Old</v>
      </c>
      <c r="N763" t="s">
        <v>18</v>
      </c>
    </row>
    <row r="764" spans="1:14" x14ac:dyDescent="0.25">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40</v>
      </c>
      <c r="D768" s="3">
        <v>50000</v>
      </c>
      <c r="E768">
        <v>4</v>
      </c>
      <c r="F768" t="s">
        <v>13</v>
      </c>
      <c r="G768" t="s">
        <v>14</v>
      </c>
      <c r="H768" t="s">
        <v>15</v>
      </c>
      <c r="I768">
        <v>3</v>
      </c>
      <c r="J768" t="s">
        <v>53</v>
      </c>
      <c r="K768" t="s">
        <v>32</v>
      </c>
      <c r="L768">
        <v>42</v>
      </c>
      <c r="M768" t="str">
        <f t="shared" si="11"/>
        <v>Middle Age</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37</v>
      </c>
      <c r="C772" t="s">
        <v>40</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40</v>
      </c>
      <c r="D777" s="3">
        <v>70000</v>
      </c>
      <c r="E777">
        <v>2</v>
      </c>
      <c r="F777" t="s">
        <v>29</v>
      </c>
      <c r="G777" t="s">
        <v>14</v>
      </c>
      <c r="H777" t="s">
        <v>15</v>
      </c>
      <c r="I777">
        <v>2</v>
      </c>
      <c r="J777" t="s">
        <v>53</v>
      </c>
      <c r="K777" t="s">
        <v>32</v>
      </c>
      <c r="L777">
        <v>54</v>
      </c>
      <c r="M777" t="str">
        <f t="shared" si="12"/>
        <v>Middle Age</v>
      </c>
      <c r="N777" t="s">
        <v>18</v>
      </c>
    </row>
    <row r="778" spans="1:14" x14ac:dyDescent="0.25">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3">
        <v>60000</v>
      </c>
      <c r="E782">
        <v>2</v>
      </c>
      <c r="F782" t="s">
        <v>19</v>
      </c>
      <c r="G782" t="s">
        <v>21</v>
      </c>
      <c r="H782" t="s">
        <v>15</v>
      </c>
      <c r="I782">
        <v>1</v>
      </c>
      <c r="J782" t="s">
        <v>53</v>
      </c>
      <c r="K782" t="s">
        <v>32</v>
      </c>
      <c r="L782">
        <v>55</v>
      </c>
      <c r="M782" t="str">
        <f t="shared" si="12"/>
        <v>Old</v>
      </c>
      <c r="N782" t="s">
        <v>18</v>
      </c>
    </row>
    <row r="783" spans="1:14" x14ac:dyDescent="0.25">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39</v>
      </c>
      <c r="D814" s="3">
        <v>70000</v>
      </c>
      <c r="E814">
        <v>4</v>
      </c>
      <c r="F814" t="s">
        <v>13</v>
      </c>
      <c r="G814" t="s">
        <v>28</v>
      </c>
      <c r="H814" t="s">
        <v>15</v>
      </c>
      <c r="I814">
        <v>2</v>
      </c>
      <c r="J814" t="s">
        <v>53</v>
      </c>
      <c r="K814" t="s">
        <v>32</v>
      </c>
      <c r="L814">
        <v>61</v>
      </c>
      <c r="M814" t="str">
        <f t="shared" si="12"/>
        <v>Old</v>
      </c>
      <c r="N814" t="s">
        <v>18</v>
      </c>
    </row>
    <row r="815" spans="1:14" x14ac:dyDescent="0.25">
      <c r="A815">
        <v>25899</v>
      </c>
      <c r="B815" t="s">
        <v>37</v>
      </c>
      <c r="C815" t="s">
        <v>39</v>
      </c>
      <c r="D815" s="3">
        <v>70000</v>
      </c>
      <c r="E815">
        <v>2</v>
      </c>
      <c r="F815" t="s">
        <v>27</v>
      </c>
      <c r="G815" t="s">
        <v>21</v>
      </c>
      <c r="H815" t="s">
        <v>15</v>
      </c>
      <c r="I815">
        <v>2</v>
      </c>
      <c r="J815" t="s">
        <v>53</v>
      </c>
      <c r="K815" t="s">
        <v>32</v>
      </c>
      <c r="L815">
        <v>53</v>
      </c>
      <c r="M815" t="str">
        <f t="shared" si="12"/>
        <v>Middle Age</v>
      </c>
      <c r="N815" t="s">
        <v>18</v>
      </c>
    </row>
    <row r="816" spans="1:14" x14ac:dyDescent="0.2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40</v>
      </c>
      <c r="D842" s="3">
        <v>70000</v>
      </c>
      <c r="E842">
        <v>4</v>
      </c>
      <c r="F842" t="s">
        <v>19</v>
      </c>
      <c r="G842" t="s">
        <v>21</v>
      </c>
      <c r="H842" t="s">
        <v>15</v>
      </c>
      <c r="I842">
        <v>2</v>
      </c>
      <c r="J842" t="s">
        <v>53</v>
      </c>
      <c r="K842" t="s">
        <v>32</v>
      </c>
      <c r="L842">
        <v>53</v>
      </c>
      <c r="M842" t="str">
        <f t="shared" si="13"/>
        <v>Middle Age</v>
      </c>
      <c r="N842" t="s">
        <v>18</v>
      </c>
    </row>
    <row r="843" spans="1:14" x14ac:dyDescent="0.25">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3">
        <v>40000</v>
      </c>
      <c r="E846">
        <v>5</v>
      </c>
      <c r="F846" t="s">
        <v>27</v>
      </c>
      <c r="G846" t="s">
        <v>21</v>
      </c>
      <c r="H846" t="s">
        <v>15</v>
      </c>
      <c r="I846">
        <v>2</v>
      </c>
      <c r="J846" t="s">
        <v>53</v>
      </c>
      <c r="K846" t="s">
        <v>32</v>
      </c>
      <c r="L846">
        <v>60</v>
      </c>
      <c r="M846" t="str">
        <f t="shared" si="13"/>
        <v>Old</v>
      </c>
      <c r="N846" t="s">
        <v>18</v>
      </c>
    </row>
    <row r="847" spans="1:14" x14ac:dyDescent="0.2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40</v>
      </c>
      <c r="D868" s="3">
        <v>60000</v>
      </c>
      <c r="E868">
        <v>2</v>
      </c>
      <c r="F868" t="s">
        <v>27</v>
      </c>
      <c r="G868" t="s">
        <v>21</v>
      </c>
      <c r="H868" t="s">
        <v>15</v>
      </c>
      <c r="I868">
        <v>2</v>
      </c>
      <c r="J868" t="s">
        <v>53</v>
      </c>
      <c r="K868" t="s">
        <v>32</v>
      </c>
      <c r="L868">
        <v>55</v>
      </c>
      <c r="M868" t="str">
        <f t="shared" si="13"/>
        <v>Old</v>
      </c>
      <c r="N868" t="s">
        <v>18</v>
      </c>
    </row>
    <row r="869" spans="1:14" x14ac:dyDescent="0.25">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40</v>
      </c>
      <c r="D870" s="3">
        <v>30000</v>
      </c>
      <c r="E870">
        <v>5</v>
      </c>
      <c r="F870" t="s">
        <v>29</v>
      </c>
      <c r="G870" t="s">
        <v>14</v>
      </c>
      <c r="H870" t="s">
        <v>15</v>
      </c>
      <c r="I870">
        <v>3</v>
      </c>
      <c r="J870" t="s">
        <v>53</v>
      </c>
      <c r="K870" t="s">
        <v>32</v>
      </c>
      <c r="L870">
        <v>60</v>
      </c>
      <c r="M870" t="str">
        <f t="shared" si="13"/>
        <v>Old</v>
      </c>
      <c r="N870" t="s">
        <v>15</v>
      </c>
    </row>
    <row r="871" spans="1:14" x14ac:dyDescent="0.2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40</v>
      </c>
      <c r="D873" s="3">
        <v>60000</v>
      </c>
      <c r="E873">
        <v>2</v>
      </c>
      <c r="F873" t="s">
        <v>27</v>
      </c>
      <c r="G873" t="s">
        <v>21</v>
      </c>
      <c r="H873" t="s">
        <v>15</v>
      </c>
      <c r="I873">
        <v>2</v>
      </c>
      <c r="J873" t="s">
        <v>53</v>
      </c>
      <c r="K873" t="s">
        <v>32</v>
      </c>
      <c r="L873">
        <v>55</v>
      </c>
      <c r="M873" t="str">
        <f t="shared" si="13"/>
        <v>Old</v>
      </c>
      <c r="N873" t="s">
        <v>18</v>
      </c>
    </row>
    <row r="874" spans="1:14" x14ac:dyDescent="0.2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40</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38</v>
      </c>
      <c r="C900" t="s">
        <v>40</v>
      </c>
      <c r="D900" s="3">
        <v>70000</v>
      </c>
      <c r="E900">
        <v>5</v>
      </c>
      <c r="F900" t="s">
        <v>13</v>
      </c>
      <c r="G900" t="s">
        <v>28</v>
      </c>
      <c r="H900" t="s">
        <v>15</v>
      </c>
      <c r="I900">
        <v>3</v>
      </c>
      <c r="J900" t="s">
        <v>53</v>
      </c>
      <c r="K900" t="s">
        <v>32</v>
      </c>
      <c r="L900">
        <v>60</v>
      </c>
      <c r="M900" t="str">
        <f t="shared" si="14"/>
        <v>Old</v>
      </c>
      <c r="N900" t="s">
        <v>15</v>
      </c>
    </row>
    <row r="901" spans="1:14" x14ac:dyDescent="0.25">
      <c r="A901">
        <v>28192</v>
      </c>
      <c r="B901" t="s">
        <v>37</v>
      </c>
      <c r="C901" t="s">
        <v>39</v>
      </c>
      <c r="D901" s="3">
        <v>70000</v>
      </c>
      <c r="E901">
        <v>5</v>
      </c>
      <c r="F901" t="s">
        <v>31</v>
      </c>
      <c r="G901" t="s">
        <v>21</v>
      </c>
      <c r="H901" t="s">
        <v>15</v>
      </c>
      <c r="I901">
        <v>3</v>
      </c>
      <c r="J901" t="s">
        <v>53</v>
      </c>
      <c r="K901" t="s">
        <v>32</v>
      </c>
      <c r="L901">
        <v>46</v>
      </c>
      <c r="M901" t="str">
        <f t="shared" si="14"/>
        <v>Middle Age</v>
      </c>
      <c r="N901" t="s">
        <v>18</v>
      </c>
    </row>
    <row r="902" spans="1:14" x14ac:dyDescent="0.25">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40</v>
      </c>
      <c r="D909" s="3">
        <v>50000</v>
      </c>
      <c r="E909">
        <v>4</v>
      </c>
      <c r="F909" t="s">
        <v>13</v>
      </c>
      <c r="G909" t="s">
        <v>28</v>
      </c>
      <c r="H909" t="s">
        <v>15</v>
      </c>
      <c r="I909">
        <v>2</v>
      </c>
      <c r="J909" t="s">
        <v>53</v>
      </c>
      <c r="K909" t="s">
        <v>32</v>
      </c>
      <c r="L909">
        <v>63</v>
      </c>
      <c r="M909" t="str">
        <f t="shared" si="14"/>
        <v>Old</v>
      </c>
      <c r="N909" t="s">
        <v>18</v>
      </c>
    </row>
    <row r="910" spans="1:14" x14ac:dyDescent="0.25">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40</v>
      </c>
      <c r="D917" s="3">
        <v>60000</v>
      </c>
      <c r="E917">
        <v>3</v>
      </c>
      <c r="F917" t="s">
        <v>31</v>
      </c>
      <c r="G917" t="s">
        <v>28</v>
      </c>
      <c r="H917" t="s">
        <v>15</v>
      </c>
      <c r="I917">
        <v>2</v>
      </c>
      <c r="J917" t="s">
        <v>53</v>
      </c>
      <c r="K917" t="s">
        <v>32</v>
      </c>
      <c r="L917">
        <v>64</v>
      </c>
      <c r="M917" t="str">
        <f t="shared" si="14"/>
        <v>Old</v>
      </c>
      <c r="N917" t="s">
        <v>18</v>
      </c>
    </row>
    <row r="918" spans="1:14" x14ac:dyDescent="0.25">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3">
        <v>40000</v>
      </c>
      <c r="E921">
        <v>4</v>
      </c>
      <c r="F921" t="s">
        <v>27</v>
      </c>
      <c r="G921" t="s">
        <v>21</v>
      </c>
      <c r="H921" t="s">
        <v>15</v>
      </c>
      <c r="I921">
        <v>2</v>
      </c>
      <c r="J921" t="s">
        <v>53</v>
      </c>
      <c r="K921" t="s">
        <v>32</v>
      </c>
      <c r="L921">
        <v>61</v>
      </c>
      <c r="M921" t="str">
        <f t="shared" si="14"/>
        <v>Old</v>
      </c>
      <c r="N921" t="s">
        <v>18</v>
      </c>
    </row>
    <row r="922" spans="1:14" x14ac:dyDescent="0.25">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39</v>
      </c>
      <c r="D928" s="3">
        <v>40000</v>
      </c>
      <c r="E928">
        <v>2</v>
      </c>
      <c r="F928" t="s">
        <v>27</v>
      </c>
      <c r="G928" t="s">
        <v>21</v>
      </c>
      <c r="H928" t="s">
        <v>15</v>
      </c>
      <c r="I928">
        <v>2</v>
      </c>
      <c r="J928" t="s">
        <v>53</v>
      </c>
      <c r="K928" t="s">
        <v>32</v>
      </c>
      <c r="L928">
        <v>57</v>
      </c>
      <c r="M928" t="str">
        <f t="shared" si="14"/>
        <v>Old</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40</v>
      </c>
      <c r="D932" s="3">
        <v>70000</v>
      </c>
      <c r="E932">
        <v>5</v>
      </c>
      <c r="F932" t="s">
        <v>31</v>
      </c>
      <c r="G932" t="s">
        <v>21</v>
      </c>
      <c r="H932" t="s">
        <v>18</v>
      </c>
      <c r="I932">
        <v>3</v>
      </c>
      <c r="J932" t="s">
        <v>53</v>
      </c>
      <c r="K932" t="s">
        <v>32</v>
      </c>
      <c r="L932">
        <v>47</v>
      </c>
      <c r="M932" t="str">
        <f t="shared" si="14"/>
        <v>Middle Age</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40</v>
      </c>
      <c r="D951" s="3">
        <v>70000</v>
      </c>
      <c r="E951">
        <v>2</v>
      </c>
      <c r="F951" t="s">
        <v>29</v>
      </c>
      <c r="G951" t="s">
        <v>14</v>
      </c>
      <c r="H951" t="s">
        <v>15</v>
      </c>
      <c r="I951">
        <v>2</v>
      </c>
      <c r="J951" t="s">
        <v>53</v>
      </c>
      <c r="K951" t="s">
        <v>32</v>
      </c>
      <c r="L951">
        <v>53</v>
      </c>
      <c r="M951" t="str">
        <f t="shared" si="14"/>
        <v>Middle Age</v>
      </c>
      <c r="N951" t="s">
        <v>18</v>
      </c>
    </row>
    <row r="952" spans="1:14" x14ac:dyDescent="0.2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37</v>
      </c>
      <c r="C964" t="s">
        <v>40</v>
      </c>
      <c r="D964" s="3">
        <v>60000</v>
      </c>
      <c r="E964">
        <v>2</v>
      </c>
      <c r="F964" t="s">
        <v>19</v>
      </c>
      <c r="G964" t="s">
        <v>21</v>
      </c>
      <c r="H964" t="s">
        <v>15</v>
      </c>
      <c r="I964">
        <v>2</v>
      </c>
      <c r="J964" t="s">
        <v>53</v>
      </c>
      <c r="K964" t="s">
        <v>32</v>
      </c>
      <c r="L964">
        <v>55</v>
      </c>
      <c r="M964" t="str">
        <f t="shared" si="15"/>
        <v>Old</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40</v>
      </c>
      <c r="D966" s="3">
        <v>70000</v>
      </c>
      <c r="E966">
        <v>4</v>
      </c>
      <c r="F966" t="s">
        <v>19</v>
      </c>
      <c r="G966" t="s">
        <v>21</v>
      </c>
      <c r="H966" t="s">
        <v>15</v>
      </c>
      <c r="I966">
        <v>1</v>
      </c>
      <c r="J966" t="s">
        <v>53</v>
      </c>
      <c r="K966" t="s">
        <v>32</v>
      </c>
      <c r="L966">
        <v>56</v>
      </c>
      <c r="M966" t="str">
        <f t="shared" si="15"/>
        <v>Old</v>
      </c>
      <c r="N966" t="s">
        <v>18</v>
      </c>
    </row>
    <row r="967" spans="1:14" x14ac:dyDescent="0.2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3">
        <v>60000</v>
      </c>
      <c r="E978">
        <v>3</v>
      </c>
      <c r="F978" t="s">
        <v>13</v>
      </c>
      <c r="G978" t="s">
        <v>28</v>
      </c>
      <c r="H978" t="s">
        <v>15</v>
      </c>
      <c r="I978">
        <v>2</v>
      </c>
      <c r="J978" t="s">
        <v>53</v>
      </c>
      <c r="K978" t="s">
        <v>32</v>
      </c>
      <c r="L978">
        <v>66</v>
      </c>
      <c r="M978" t="str">
        <f t="shared" si="15"/>
        <v>Old</v>
      </c>
      <c r="N978" t="s">
        <v>18</v>
      </c>
    </row>
    <row r="979" spans="1:14" x14ac:dyDescent="0.2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39</v>
      </c>
      <c r="D982" s="3">
        <v>80000</v>
      </c>
      <c r="E982">
        <v>3</v>
      </c>
      <c r="F982" t="s">
        <v>13</v>
      </c>
      <c r="G982" t="s">
        <v>14</v>
      </c>
      <c r="H982" t="s">
        <v>15</v>
      </c>
      <c r="I982">
        <v>3</v>
      </c>
      <c r="J982" t="s">
        <v>53</v>
      </c>
      <c r="K982" t="s">
        <v>32</v>
      </c>
      <c r="L982">
        <v>40</v>
      </c>
      <c r="M982" t="str">
        <f t="shared" si="15"/>
        <v>Middle Age</v>
      </c>
      <c r="N982" t="s">
        <v>15</v>
      </c>
    </row>
    <row r="983" spans="1:14" x14ac:dyDescent="0.25">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40</v>
      </c>
      <c r="D988" s="3">
        <v>40000</v>
      </c>
      <c r="E988">
        <v>5</v>
      </c>
      <c r="F988" t="s">
        <v>27</v>
      </c>
      <c r="G988" t="s">
        <v>21</v>
      </c>
      <c r="H988" t="s">
        <v>15</v>
      </c>
      <c r="I988">
        <v>4</v>
      </c>
      <c r="J988" t="s">
        <v>53</v>
      </c>
      <c r="K988" t="s">
        <v>32</v>
      </c>
      <c r="L988">
        <v>60</v>
      </c>
      <c r="M988" t="str">
        <f t="shared" si="15"/>
        <v>Old</v>
      </c>
      <c r="N988" t="s">
        <v>15</v>
      </c>
    </row>
    <row r="989" spans="1:14" x14ac:dyDescent="0.25">
      <c r="A989">
        <v>28972</v>
      </c>
      <c r="B989" t="s">
        <v>38</v>
      </c>
      <c r="C989" t="s">
        <v>39</v>
      </c>
      <c r="D989" s="3">
        <v>60000</v>
      </c>
      <c r="E989">
        <v>3</v>
      </c>
      <c r="F989" t="s">
        <v>31</v>
      </c>
      <c r="G989" t="s">
        <v>28</v>
      </c>
      <c r="H989" t="s">
        <v>15</v>
      </c>
      <c r="I989">
        <v>2</v>
      </c>
      <c r="J989" t="s">
        <v>53</v>
      </c>
      <c r="K989" t="s">
        <v>32</v>
      </c>
      <c r="L989">
        <v>66</v>
      </c>
      <c r="M989" t="str">
        <f t="shared" si="15"/>
        <v>Old</v>
      </c>
      <c r="N989" t="s">
        <v>18</v>
      </c>
    </row>
    <row r="990" spans="1:14" x14ac:dyDescent="0.25">
      <c r="A990">
        <v>22730</v>
      </c>
      <c r="B990" t="s">
        <v>37</v>
      </c>
      <c r="C990" t="s">
        <v>40</v>
      </c>
      <c r="D990" s="3">
        <v>70000</v>
      </c>
      <c r="E990">
        <v>5</v>
      </c>
      <c r="F990" t="s">
        <v>13</v>
      </c>
      <c r="G990" t="s">
        <v>28</v>
      </c>
      <c r="H990" t="s">
        <v>15</v>
      </c>
      <c r="I990">
        <v>2</v>
      </c>
      <c r="J990" t="s">
        <v>53</v>
      </c>
      <c r="K990" t="s">
        <v>32</v>
      </c>
      <c r="L990">
        <v>63</v>
      </c>
      <c r="M990" t="str">
        <f t="shared" si="15"/>
        <v>Old</v>
      </c>
      <c r="N990" t="s">
        <v>18</v>
      </c>
    </row>
    <row r="991" spans="1:14" x14ac:dyDescent="0.25">
      <c r="A991">
        <v>29134</v>
      </c>
      <c r="B991" t="s">
        <v>37</v>
      </c>
      <c r="C991" t="s">
        <v>40</v>
      </c>
      <c r="D991" s="3">
        <v>60000</v>
      </c>
      <c r="E991">
        <v>4</v>
      </c>
      <c r="F991" t="s">
        <v>13</v>
      </c>
      <c r="G991" t="s">
        <v>14</v>
      </c>
      <c r="H991" t="s">
        <v>18</v>
      </c>
      <c r="I991">
        <v>3</v>
      </c>
      <c r="J991" t="s">
        <v>53</v>
      </c>
      <c r="K991" t="s">
        <v>32</v>
      </c>
      <c r="L991">
        <v>42</v>
      </c>
      <c r="M991" t="str">
        <f t="shared" si="15"/>
        <v>Middle Age</v>
      </c>
      <c r="N991" t="s">
        <v>18</v>
      </c>
    </row>
    <row r="992" spans="1:14" x14ac:dyDescent="0.2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40</v>
      </c>
      <c r="D1001" s="3">
        <v>60000</v>
      </c>
      <c r="E1001">
        <v>3</v>
      </c>
      <c r="F1001" t="s">
        <v>27</v>
      </c>
      <c r="G1001" t="s">
        <v>21</v>
      </c>
      <c r="H1001" t="s">
        <v>15</v>
      </c>
      <c r="I1001">
        <v>2</v>
      </c>
      <c r="J1001" t="s">
        <v>53</v>
      </c>
      <c r="K1001" t="s">
        <v>32</v>
      </c>
      <c r="L1001">
        <v>53</v>
      </c>
      <c r="M1001" t="str">
        <f t="shared" si="15"/>
        <v>Middle Age</v>
      </c>
      <c r="N1001" t="s">
        <v>15</v>
      </c>
    </row>
  </sheetData>
  <autoFilter ref="A1:N1001" xr:uid="{129CD72A-246A-4CB8-A9FE-772D60DED3B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9126D-B98B-4FA0-9990-4DAB0097490C}">
  <dimension ref="A1:L120"/>
  <sheetViews>
    <sheetView topLeftCell="A73" workbookViewId="0">
      <selection activeCell="D65" sqref="D6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12" ht="21" x14ac:dyDescent="0.35">
      <c r="A1" s="6" t="s">
        <v>47</v>
      </c>
      <c r="B1" s="7"/>
      <c r="C1" s="7"/>
      <c r="D1" s="7"/>
      <c r="E1" s="7"/>
      <c r="F1" s="7"/>
      <c r="G1" s="7"/>
      <c r="H1" s="7"/>
      <c r="I1" s="8"/>
      <c r="J1" s="8"/>
      <c r="K1" s="8"/>
      <c r="L1" s="8"/>
    </row>
    <row r="3" spans="1:12" x14ac:dyDescent="0.25">
      <c r="A3" s="4" t="s">
        <v>45</v>
      </c>
      <c r="B3" s="4" t="s">
        <v>46</v>
      </c>
    </row>
    <row r="4" spans="1:12" x14ac:dyDescent="0.25">
      <c r="A4" s="4" t="s">
        <v>43</v>
      </c>
      <c r="B4" t="s">
        <v>18</v>
      </c>
      <c r="C4" t="s">
        <v>15</v>
      </c>
      <c r="D4" t="s">
        <v>44</v>
      </c>
    </row>
    <row r="5" spans="1:12" x14ac:dyDescent="0.25">
      <c r="A5" s="5" t="s">
        <v>39</v>
      </c>
      <c r="B5" s="3">
        <v>53440</v>
      </c>
      <c r="C5" s="3">
        <v>55774.058577405856</v>
      </c>
      <c r="D5" s="3">
        <v>54580.777096114522</v>
      </c>
    </row>
    <row r="6" spans="1:12" x14ac:dyDescent="0.25">
      <c r="A6" s="5" t="s">
        <v>40</v>
      </c>
      <c r="B6" s="3">
        <v>56208.178438661707</v>
      </c>
      <c r="C6" s="3">
        <v>60123.966942148763</v>
      </c>
      <c r="D6" s="3">
        <v>58062.62230919765</v>
      </c>
    </row>
    <row r="7" spans="1:12" x14ac:dyDescent="0.25">
      <c r="A7" s="5" t="s">
        <v>44</v>
      </c>
      <c r="B7" s="3">
        <v>54874.759152215796</v>
      </c>
      <c r="C7" s="3">
        <v>57962.577962577961</v>
      </c>
      <c r="D7" s="3">
        <v>56360</v>
      </c>
    </row>
    <row r="23" spans="1:4" ht="18.75" x14ac:dyDescent="0.3">
      <c r="A23" s="10" t="s">
        <v>52</v>
      </c>
      <c r="B23" s="11"/>
      <c r="C23" s="11"/>
    </row>
    <row r="26" spans="1:4" x14ac:dyDescent="0.25">
      <c r="A26" s="4" t="s">
        <v>51</v>
      </c>
      <c r="B26" s="4" t="s">
        <v>46</v>
      </c>
    </row>
    <row r="27" spans="1:4" x14ac:dyDescent="0.25">
      <c r="A27" s="4" t="s">
        <v>43</v>
      </c>
      <c r="B27" t="s">
        <v>18</v>
      </c>
      <c r="C27" t="s">
        <v>15</v>
      </c>
      <c r="D27" t="s">
        <v>44</v>
      </c>
    </row>
    <row r="28" spans="1:4" x14ac:dyDescent="0.25">
      <c r="A28" s="5" t="s">
        <v>16</v>
      </c>
      <c r="B28" s="13">
        <v>166</v>
      </c>
      <c r="C28" s="13">
        <v>200</v>
      </c>
      <c r="D28" s="13">
        <v>366</v>
      </c>
    </row>
    <row r="29" spans="1:4" x14ac:dyDescent="0.25">
      <c r="A29" s="5" t="s">
        <v>26</v>
      </c>
      <c r="B29" s="13">
        <v>92</v>
      </c>
      <c r="C29" s="13">
        <v>77</v>
      </c>
      <c r="D29" s="13">
        <v>169</v>
      </c>
    </row>
    <row r="30" spans="1:4" x14ac:dyDescent="0.25">
      <c r="A30" s="5" t="s">
        <v>22</v>
      </c>
      <c r="B30" s="13">
        <v>67</v>
      </c>
      <c r="C30" s="13">
        <v>95</v>
      </c>
      <c r="D30" s="13">
        <v>162</v>
      </c>
    </row>
    <row r="31" spans="1:4" x14ac:dyDescent="0.25">
      <c r="A31" s="5" t="s">
        <v>23</v>
      </c>
      <c r="B31" s="13">
        <v>116</v>
      </c>
      <c r="C31" s="13">
        <v>76</v>
      </c>
      <c r="D31" s="13">
        <v>192</v>
      </c>
    </row>
    <row r="32" spans="1:4" x14ac:dyDescent="0.25">
      <c r="A32" s="5" t="s">
        <v>53</v>
      </c>
      <c r="B32" s="13">
        <v>78</v>
      </c>
      <c r="C32" s="13">
        <v>33</v>
      </c>
      <c r="D32" s="13">
        <v>111</v>
      </c>
    </row>
    <row r="33" spans="1:4" x14ac:dyDescent="0.25">
      <c r="A33" s="5" t="s">
        <v>44</v>
      </c>
      <c r="B33" s="13">
        <v>519</v>
      </c>
      <c r="C33" s="13">
        <v>481</v>
      </c>
      <c r="D33" s="13">
        <v>1000</v>
      </c>
    </row>
    <row r="43" spans="1:4" ht="18.75" x14ac:dyDescent="0.3">
      <c r="A43" s="12" t="s">
        <v>54</v>
      </c>
      <c r="B43" s="12"/>
    </row>
    <row r="45" spans="1:4" x14ac:dyDescent="0.25">
      <c r="A45" s="4" t="s">
        <v>51</v>
      </c>
      <c r="B45" s="4" t="s">
        <v>46</v>
      </c>
    </row>
    <row r="46" spans="1:4" x14ac:dyDescent="0.25">
      <c r="A46" s="4" t="s">
        <v>43</v>
      </c>
      <c r="B46" t="s">
        <v>18</v>
      </c>
      <c r="C46" t="s">
        <v>15</v>
      </c>
      <c r="D46" t="s">
        <v>44</v>
      </c>
    </row>
    <row r="47" spans="1:4" x14ac:dyDescent="0.25">
      <c r="A47" s="5" t="s">
        <v>49</v>
      </c>
      <c r="B47" s="13">
        <v>71</v>
      </c>
      <c r="C47" s="13">
        <v>39</v>
      </c>
      <c r="D47" s="13">
        <v>110</v>
      </c>
    </row>
    <row r="48" spans="1:4" x14ac:dyDescent="0.25">
      <c r="A48" s="5" t="s">
        <v>48</v>
      </c>
      <c r="B48" s="13">
        <v>318</v>
      </c>
      <c r="C48" s="13">
        <v>383</v>
      </c>
      <c r="D48" s="13">
        <v>701</v>
      </c>
    </row>
    <row r="49" spans="1:4" x14ac:dyDescent="0.25">
      <c r="A49" s="5" t="s">
        <v>50</v>
      </c>
      <c r="B49" s="13">
        <v>130</v>
      </c>
      <c r="C49" s="13">
        <v>59</v>
      </c>
      <c r="D49" s="13">
        <v>189</v>
      </c>
    </row>
    <row r="50" spans="1:4" x14ac:dyDescent="0.25">
      <c r="A50" s="5" t="s">
        <v>44</v>
      </c>
      <c r="B50" s="13">
        <v>519</v>
      </c>
      <c r="C50" s="13">
        <v>481</v>
      </c>
      <c r="D50" s="13">
        <v>1000</v>
      </c>
    </row>
    <row r="65" spans="1:4" x14ac:dyDescent="0.25">
      <c r="A65" s="4" t="s">
        <v>51</v>
      </c>
      <c r="B65" s="4" t="s">
        <v>46</v>
      </c>
    </row>
    <row r="66" spans="1:4" x14ac:dyDescent="0.25">
      <c r="A66" s="4" t="s">
        <v>43</v>
      </c>
      <c r="B66" t="s">
        <v>18</v>
      </c>
      <c r="C66" t="s">
        <v>15</v>
      </c>
      <c r="D66" t="s">
        <v>44</v>
      </c>
    </row>
    <row r="67" spans="1:4" x14ac:dyDescent="0.25">
      <c r="A67" s="5">
        <v>25</v>
      </c>
      <c r="B67" s="13">
        <v>2</v>
      </c>
      <c r="C67" s="13">
        <v>4</v>
      </c>
      <c r="D67" s="13">
        <v>6</v>
      </c>
    </row>
    <row r="68" spans="1:4" x14ac:dyDescent="0.25">
      <c r="A68" s="5">
        <v>26</v>
      </c>
      <c r="B68" s="13">
        <v>8</v>
      </c>
      <c r="C68" s="13">
        <v>8</v>
      </c>
      <c r="D68" s="13">
        <v>16</v>
      </c>
    </row>
    <row r="69" spans="1:4" x14ac:dyDescent="0.25">
      <c r="A69" s="5">
        <v>27</v>
      </c>
      <c r="B69" s="13">
        <v>15</v>
      </c>
      <c r="C69" s="13">
        <v>8</v>
      </c>
      <c r="D69" s="13">
        <v>23</v>
      </c>
    </row>
    <row r="70" spans="1:4" x14ac:dyDescent="0.25">
      <c r="A70" s="5">
        <v>28</v>
      </c>
      <c r="B70" s="13">
        <v>12</v>
      </c>
      <c r="C70" s="13">
        <v>10</v>
      </c>
      <c r="D70" s="13">
        <v>22</v>
      </c>
    </row>
    <row r="71" spans="1:4" x14ac:dyDescent="0.25">
      <c r="A71" s="5">
        <v>29</v>
      </c>
      <c r="B71" s="13">
        <v>11</v>
      </c>
      <c r="C71" s="13">
        <v>5</v>
      </c>
      <c r="D71" s="13">
        <v>16</v>
      </c>
    </row>
    <row r="72" spans="1:4" x14ac:dyDescent="0.25">
      <c r="A72" s="5">
        <v>30</v>
      </c>
      <c r="B72" s="13">
        <v>23</v>
      </c>
      <c r="C72" s="13">
        <v>4</v>
      </c>
      <c r="D72" s="13">
        <v>27</v>
      </c>
    </row>
    <row r="73" spans="1:4" x14ac:dyDescent="0.25">
      <c r="A73" s="5">
        <v>31</v>
      </c>
      <c r="B73" s="13">
        <v>17</v>
      </c>
      <c r="C73" s="13">
        <v>8</v>
      </c>
      <c r="D73" s="13">
        <v>25</v>
      </c>
    </row>
    <row r="74" spans="1:4" x14ac:dyDescent="0.25">
      <c r="A74" s="5">
        <v>32</v>
      </c>
      <c r="B74" s="13">
        <v>19</v>
      </c>
      <c r="C74" s="13">
        <v>14</v>
      </c>
      <c r="D74" s="13">
        <v>33</v>
      </c>
    </row>
    <row r="75" spans="1:4" x14ac:dyDescent="0.25">
      <c r="A75" s="5">
        <v>33</v>
      </c>
      <c r="B75" s="13">
        <v>8</v>
      </c>
      <c r="C75" s="13">
        <v>13</v>
      </c>
      <c r="D75" s="13">
        <v>21</v>
      </c>
    </row>
    <row r="76" spans="1:4" x14ac:dyDescent="0.25">
      <c r="A76" s="5">
        <v>34</v>
      </c>
      <c r="B76" s="13">
        <v>12</v>
      </c>
      <c r="C76" s="13">
        <v>19</v>
      </c>
      <c r="D76" s="13">
        <v>31</v>
      </c>
    </row>
    <row r="77" spans="1:4" x14ac:dyDescent="0.25">
      <c r="A77" s="5">
        <v>35</v>
      </c>
      <c r="B77" s="13">
        <v>14</v>
      </c>
      <c r="C77" s="13">
        <v>22</v>
      </c>
      <c r="D77" s="13">
        <v>36</v>
      </c>
    </row>
    <row r="78" spans="1:4" x14ac:dyDescent="0.25">
      <c r="A78" s="5">
        <v>36</v>
      </c>
      <c r="B78" s="13">
        <v>7</v>
      </c>
      <c r="C78" s="13">
        <v>30</v>
      </c>
      <c r="D78" s="13">
        <v>37</v>
      </c>
    </row>
    <row r="79" spans="1:4" x14ac:dyDescent="0.25">
      <c r="A79" s="5">
        <v>37</v>
      </c>
      <c r="B79" s="13">
        <v>4</v>
      </c>
      <c r="C79" s="13">
        <v>28</v>
      </c>
      <c r="D79" s="13">
        <v>32</v>
      </c>
    </row>
    <row r="80" spans="1:4" x14ac:dyDescent="0.25">
      <c r="A80" s="5">
        <v>38</v>
      </c>
      <c r="B80" s="13">
        <v>8</v>
      </c>
      <c r="C80" s="13">
        <v>29</v>
      </c>
      <c r="D80" s="13">
        <v>37</v>
      </c>
    </row>
    <row r="81" spans="1:4" x14ac:dyDescent="0.25">
      <c r="A81" s="5">
        <v>39</v>
      </c>
      <c r="B81" s="13">
        <v>10</v>
      </c>
      <c r="C81" s="13">
        <v>12</v>
      </c>
      <c r="D81" s="13">
        <v>22</v>
      </c>
    </row>
    <row r="82" spans="1:4" x14ac:dyDescent="0.25">
      <c r="A82" s="5">
        <v>40</v>
      </c>
      <c r="B82" s="13">
        <v>24</v>
      </c>
      <c r="C82" s="13">
        <v>18</v>
      </c>
      <c r="D82" s="13">
        <v>42</v>
      </c>
    </row>
    <row r="83" spans="1:4" x14ac:dyDescent="0.25">
      <c r="A83" s="5">
        <v>41</v>
      </c>
      <c r="B83" s="13">
        <v>13</v>
      </c>
      <c r="C83" s="13">
        <v>15</v>
      </c>
      <c r="D83" s="13">
        <v>28</v>
      </c>
    </row>
    <row r="84" spans="1:4" x14ac:dyDescent="0.25">
      <c r="A84" s="5">
        <v>42</v>
      </c>
      <c r="B84" s="13">
        <v>22</v>
      </c>
      <c r="C84" s="13">
        <v>12</v>
      </c>
      <c r="D84" s="13">
        <v>34</v>
      </c>
    </row>
    <row r="85" spans="1:4" x14ac:dyDescent="0.25">
      <c r="A85" s="5">
        <v>43</v>
      </c>
      <c r="B85" s="13">
        <v>17</v>
      </c>
      <c r="C85" s="13">
        <v>19</v>
      </c>
      <c r="D85" s="13">
        <v>36</v>
      </c>
    </row>
    <row r="86" spans="1:4" x14ac:dyDescent="0.25">
      <c r="A86" s="5">
        <v>44</v>
      </c>
      <c r="B86" s="13">
        <v>15</v>
      </c>
      <c r="C86" s="13">
        <v>12</v>
      </c>
      <c r="D86" s="13">
        <v>27</v>
      </c>
    </row>
    <row r="87" spans="1:4" x14ac:dyDescent="0.25">
      <c r="A87" s="5">
        <v>45</v>
      </c>
      <c r="B87" s="13">
        <v>18</v>
      </c>
      <c r="C87" s="13">
        <v>13</v>
      </c>
      <c r="D87" s="13">
        <v>31</v>
      </c>
    </row>
    <row r="88" spans="1:4" x14ac:dyDescent="0.25">
      <c r="A88" s="5">
        <v>46</v>
      </c>
      <c r="B88" s="13">
        <v>12</v>
      </c>
      <c r="C88" s="13">
        <v>15</v>
      </c>
      <c r="D88" s="13">
        <v>27</v>
      </c>
    </row>
    <row r="89" spans="1:4" x14ac:dyDescent="0.25">
      <c r="A89" s="5">
        <v>47</v>
      </c>
      <c r="B89" s="13">
        <v>19</v>
      </c>
      <c r="C89" s="13">
        <v>20</v>
      </c>
      <c r="D89" s="13">
        <v>39</v>
      </c>
    </row>
    <row r="90" spans="1:4" x14ac:dyDescent="0.25">
      <c r="A90" s="5">
        <v>48</v>
      </c>
      <c r="B90" s="13">
        <v>16</v>
      </c>
      <c r="C90" s="13">
        <v>13</v>
      </c>
      <c r="D90" s="13">
        <v>29</v>
      </c>
    </row>
    <row r="91" spans="1:4" x14ac:dyDescent="0.25">
      <c r="A91" s="5">
        <v>49</v>
      </c>
      <c r="B91" s="13">
        <v>15</v>
      </c>
      <c r="C91" s="13">
        <v>8</v>
      </c>
      <c r="D91" s="13">
        <v>23</v>
      </c>
    </row>
    <row r="92" spans="1:4" x14ac:dyDescent="0.25">
      <c r="A92" s="5">
        <v>50</v>
      </c>
      <c r="B92" s="13">
        <v>12</v>
      </c>
      <c r="C92" s="13">
        <v>12</v>
      </c>
      <c r="D92" s="13">
        <v>24</v>
      </c>
    </row>
    <row r="93" spans="1:4" x14ac:dyDescent="0.25">
      <c r="A93" s="5">
        <v>51</v>
      </c>
      <c r="B93" s="13">
        <v>10</v>
      </c>
      <c r="C93" s="13">
        <v>12</v>
      </c>
      <c r="D93" s="13">
        <v>22</v>
      </c>
    </row>
    <row r="94" spans="1:4" x14ac:dyDescent="0.25">
      <c r="A94" s="5">
        <v>52</v>
      </c>
      <c r="B94" s="13">
        <v>10</v>
      </c>
      <c r="C94" s="13">
        <v>15</v>
      </c>
      <c r="D94" s="13">
        <v>25</v>
      </c>
    </row>
    <row r="95" spans="1:4" x14ac:dyDescent="0.25">
      <c r="A95" s="5">
        <v>53</v>
      </c>
      <c r="B95" s="13">
        <v>11</v>
      </c>
      <c r="C95" s="13">
        <v>13</v>
      </c>
      <c r="D95" s="13">
        <v>24</v>
      </c>
    </row>
    <row r="96" spans="1:4" x14ac:dyDescent="0.25">
      <c r="A96" s="5">
        <v>54</v>
      </c>
      <c r="B96" s="13">
        <v>5</v>
      </c>
      <c r="C96" s="13">
        <v>11</v>
      </c>
      <c r="D96" s="13">
        <v>16</v>
      </c>
    </row>
    <row r="97" spans="1:4" x14ac:dyDescent="0.25">
      <c r="A97" s="5">
        <v>55</v>
      </c>
      <c r="B97" s="13">
        <v>13</v>
      </c>
      <c r="C97" s="13">
        <v>5</v>
      </c>
      <c r="D97" s="13">
        <v>18</v>
      </c>
    </row>
    <row r="98" spans="1:4" x14ac:dyDescent="0.25">
      <c r="A98" s="5">
        <v>56</v>
      </c>
      <c r="B98" s="13">
        <v>13</v>
      </c>
      <c r="C98" s="13">
        <v>3</v>
      </c>
      <c r="D98" s="13">
        <v>16</v>
      </c>
    </row>
    <row r="99" spans="1:4" x14ac:dyDescent="0.25">
      <c r="A99" s="5">
        <v>57</v>
      </c>
      <c r="B99" s="13">
        <v>4</v>
      </c>
      <c r="C99" s="13">
        <v>4</v>
      </c>
      <c r="D99" s="13">
        <v>8</v>
      </c>
    </row>
    <row r="100" spans="1:4" x14ac:dyDescent="0.25">
      <c r="A100" s="5">
        <v>58</v>
      </c>
      <c r="B100" s="13">
        <v>8</v>
      </c>
      <c r="C100" s="13">
        <v>4</v>
      </c>
      <c r="D100" s="13">
        <v>12</v>
      </c>
    </row>
    <row r="101" spans="1:4" x14ac:dyDescent="0.25">
      <c r="A101" s="5">
        <v>59</v>
      </c>
      <c r="B101" s="13">
        <v>14</v>
      </c>
      <c r="C101" s="13">
        <v>6</v>
      </c>
      <c r="D101" s="13">
        <v>20</v>
      </c>
    </row>
    <row r="102" spans="1:4" x14ac:dyDescent="0.25">
      <c r="A102" s="5">
        <v>60</v>
      </c>
      <c r="B102" s="13">
        <v>8</v>
      </c>
      <c r="C102" s="13">
        <v>7</v>
      </c>
      <c r="D102" s="13">
        <v>15</v>
      </c>
    </row>
    <row r="103" spans="1:4" x14ac:dyDescent="0.25">
      <c r="A103" s="5">
        <v>61</v>
      </c>
      <c r="B103" s="13">
        <v>5</v>
      </c>
      <c r="C103" s="13">
        <v>4</v>
      </c>
      <c r="D103" s="13">
        <v>9</v>
      </c>
    </row>
    <row r="104" spans="1:4" x14ac:dyDescent="0.25">
      <c r="A104" s="5">
        <v>62</v>
      </c>
      <c r="B104" s="13">
        <v>9</v>
      </c>
      <c r="C104" s="13">
        <v>4</v>
      </c>
      <c r="D104" s="13">
        <v>13</v>
      </c>
    </row>
    <row r="105" spans="1:4" x14ac:dyDescent="0.25">
      <c r="A105" s="5">
        <v>63</v>
      </c>
      <c r="B105" s="13">
        <v>7</v>
      </c>
      <c r="C105" s="13">
        <v>2</v>
      </c>
      <c r="D105" s="13">
        <v>9</v>
      </c>
    </row>
    <row r="106" spans="1:4" x14ac:dyDescent="0.25">
      <c r="A106" s="5">
        <v>64</v>
      </c>
      <c r="B106" s="13">
        <v>7</v>
      </c>
      <c r="C106" s="13">
        <v>3</v>
      </c>
      <c r="D106" s="13">
        <v>10</v>
      </c>
    </row>
    <row r="107" spans="1:4" x14ac:dyDescent="0.25">
      <c r="A107" s="5">
        <v>65</v>
      </c>
      <c r="B107" s="13">
        <v>6</v>
      </c>
      <c r="C107" s="13">
        <v>3</v>
      </c>
      <c r="D107" s="13">
        <v>9</v>
      </c>
    </row>
    <row r="108" spans="1:4" x14ac:dyDescent="0.25">
      <c r="A108" s="5">
        <v>66</v>
      </c>
      <c r="B108" s="13">
        <v>8</v>
      </c>
      <c r="C108" s="13">
        <v>6</v>
      </c>
      <c r="D108" s="13">
        <v>14</v>
      </c>
    </row>
    <row r="109" spans="1:4" x14ac:dyDescent="0.25">
      <c r="A109" s="5">
        <v>67</v>
      </c>
      <c r="B109" s="13">
        <v>8</v>
      </c>
      <c r="C109" s="13">
        <v>2</v>
      </c>
      <c r="D109" s="13">
        <v>10</v>
      </c>
    </row>
    <row r="110" spans="1:4" x14ac:dyDescent="0.25">
      <c r="A110" s="5">
        <v>68</v>
      </c>
      <c r="B110" s="13">
        <v>3</v>
      </c>
      <c r="C110" s="13"/>
      <c r="D110" s="13">
        <v>3</v>
      </c>
    </row>
    <row r="111" spans="1:4" x14ac:dyDescent="0.25">
      <c r="A111" s="5">
        <v>69</v>
      </c>
      <c r="B111" s="13">
        <v>8</v>
      </c>
      <c r="C111" s="13"/>
      <c r="D111" s="13">
        <v>8</v>
      </c>
    </row>
    <row r="112" spans="1:4" x14ac:dyDescent="0.25">
      <c r="A112" s="5">
        <v>70</v>
      </c>
      <c r="B112" s="13">
        <v>3</v>
      </c>
      <c r="C112" s="13">
        <v>1</v>
      </c>
      <c r="D112" s="13">
        <v>4</v>
      </c>
    </row>
    <row r="113" spans="1:4" x14ac:dyDescent="0.25">
      <c r="A113" s="5">
        <v>71</v>
      </c>
      <c r="B113" s="13">
        <v>1</v>
      </c>
      <c r="C113" s="13"/>
      <c r="D113" s="13">
        <v>1</v>
      </c>
    </row>
    <row r="114" spans="1:4" x14ac:dyDescent="0.25">
      <c r="A114" s="5">
        <v>72</v>
      </c>
      <c r="B114" s="13"/>
      <c r="C114" s="13">
        <v>1</v>
      </c>
      <c r="D114" s="13">
        <v>1</v>
      </c>
    </row>
    <row r="115" spans="1:4" x14ac:dyDescent="0.25">
      <c r="A115" s="5">
        <v>73</v>
      </c>
      <c r="B115" s="13">
        <v>2</v>
      </c>
      <c r="C115" s="13">
        <v>2</v>
      </c>
      <c r="D115" s="13">
        <v>4</v>
      </c>
    </row>
    <row r="116" spans="1:4" x14ac:dyDescent="0.25">
      <c r="A116" s="5">
        <v>74</v>
      </c>
      <c r="B116" s="13"/>
      <c r="C116" s="13">
        <v>1</v>
      </c>
      <c r="D116" s="13">
        <v>1</v>
      </c>
    </row>
    <row r="117" spans="1:4" x14ac:dyDescent="0.25">
      <c r="A117" s="5">
        <v>78</v>
      </c>
      <c r="B117" s="13">
        <v>1</v>
      </c>
      <c r="C117" s="13">
        <v>1</v>
      </c>
      <c r="D117" s="13">
        <v>2</v>
      </c>
    </row>
    <row r="118" spans="1:4" x14ac:dyDescent="0.25">
      <c r="A118" s="5">
        <v>80</v>
      </c>
      <c r="B118" s="13">
        <v>1</v>
      </c>
      <c r="C118" s="13"/>
      <c r="D118" s="13">
        <v>1</v>
      </c>
    </row>
    <row r="119" spans="1:4" x14ac:dyDescent="0.25">
      <c r="A119" s="5">
        <v>89</v>
      </c>
      <c r="B119" s="13">
        <v>1</v>
      </c>
      <c r="C119" s="13"/>
      <c r="D119" s="13">
        <v>1</v>
      </c>
    </row>
    <row r="120" spans="1:4" x14ac:dyDescent="0.25">
      <c r="A120" s="5" t="s">
        <v>44</v>
      </c>
      <c r="B120" s="13">
        <v>519</v>
      </c>
      <c r="C120" s="13">
        <v>481</v>
      </c>
      <c r="D120" s="13">
        <v>1000</v>
      </c>
    </row>
  </sheetData>
  <mergeCells count="2">
    <mergeCell ref="A23:C23"/>
    <mergeCell ref="A43:B43"/>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5CA3-38E4-43AD-B265-8F3EF6005BEA}">
  <dimension ref="A1:Q7"/>
  <sheetViews>
    <sheetView showGridLines="0" zoomScale="99" zoomScaleNormal="70" workbookViewId="0">
      <selection activeCell="U20" sqref="U20"/>
    </sheetView>
  </sheetViews>
  <sheetFormatPr defaultRowHeight="15" x14ac:dyDescent="0.25"/>
  <sheetData>
    <row r="1" spans="1:17" ht="15" customHeight="1" x14ac:dyDescent="0.25">
      <c r="A1" s="9" t="s">
        <v>55</v>
      </c>
      <c r="B1" s="9"/>
      <c r="C1" s="9"/>
      <c r="D1" s="9"/>
      <c r="E1" s="9"/>
      <c r="F1" s="9"/>
      <c r="G1" s="9"/>
      <c r="H1" s="9"/>
      <c r="I1" s="9"/>
      <c r="J1" s="9"/>
      <c r="K1" s="9"/>
      <c r="L1" s="9"/>
      <c r="M1" s="9"/>
      <c r="N1" s="9"/>
      <c r="O1" s="9"/>
      <c r="P1" s="9"/>
      <c r="Q1" s="9"/>
    </row>
    <row r="2" spans="1:17" ht="15" customHeight="1" x14ac:dyDescent="0.25">
      <c r="A2" s="9"/>
      <c r="B2" s="9"/>
      <c r="C2" s="9"/>
      <c r="D2" s="9"/>
      <c r="E2" s="9"/>
      <c r="F2" s="9"/>
      <c r="G2" s="9"/>
      <c r="H2" s="9"/>
      <c r="I2" s="9"/>
      <c r="J2" s="9"/>
      <c r="K2" s="9"/>
      <c r="L2" s="9"/>
      <c r="M2" s="9"/>
      <c r="N2" s="9"/>
      <c r="O2" s="9"/>
      <c r="P2" s="9"/>
      <c r="Q2" s="9"/>
    </row>
    <row r="3" spans="1:17" ht="15" customHeight="1" x14ac:dyDescent="0.25">
      <c r="A3" s="9"/>
      <c r="B3" s="9"/>
      <c r="C3" s="9"/>
      <c r="D3" s="9"/>
      <c r="E3" s="9"/>
      <c r="F3" s="9"/>
      <c r="G3" s="9"/>
      <c r="H3" s="9"/>
      <c r="I3" s="9"/>
      <c r="J3" s="9"/>
      <c r="K3" s="9"/>
      <c r="L3" s="9"/>
      <c r="M3" s="9"/>
      <c r="N3" s="9"/>
      <c r="O3" s="9"/>
      <c r="P3" s="9"/>
      <c r="Q3" s="9"/>
    </row>
    <row r="4" spans="1:17" ht="15" customHeight="1" x14ac:dyDescent="0.25">
      <c r="A4" s="9"/>
      <c r="B4" s="9"/>
      <c r="C4" s="9"/>
      <c r="D4" s="9"/>
      <c r="E4" s="9"/>
      <c r="F4" s="9"/>
      <c r="G4" s="9"/>
      <c r="H4" s="9"/>
      <c r="I4" s="9"/>
      <c r="J4" s="9"/>
      <c r="K4" s="9"/>
      <c r="L4" s="9"/>
      <c r="M4" s="9"/>
      <c r="N4" s="9"/>
      <c r="O4" s="9"/>
      <c r="P4" s="9"/>
      <c r="Q4" s="9"/>
    </row>
    <row r="5" spans="1:17" ht="15" customHeight="1" x14ac:dyDescent="0.25">
      <c r="A5" s="9"/>
      <c r="B5" s="9"/>
      <c r="C5" s="9"/>
      <c r="D5" s="9"/>
      <c r="E5" s="9"/>
      <c r="F5" s="9"/>
      <c r="G5" s="9"/>
      <c r="H5" s="9"/>
      <c r="I5" s="9"/>
      <c r="J5" s="9"/>
      <c r="K5" s="9"/>
      <c r="L5" s="9"/>
      <c r="M5" s="9"/>
      <c r="N5" s="9"/>
      <c r="O5" s="9"/>
      <c r="P5" s="9"/>
      <c r="Q5" s="9"/>
    </row>
    <row r="6" spans="1:17" ht="15" customHeight="1" x14ac:dyDescent="0.25">
      <c r="A6" s="9"/>
      <c r="B6" s="9"/>
      <c r="C6" s="9"/>
      <c r="D6" s="9"/>
      <c r="E6" s="9"/>
      <c r="F6" s="9"/>
      <c r="G6" s="9"/>
      <c r="H6" s="9"/>
      <c r="I6" s="9"/>
      <c r="J6" s="9"/>
      <c r="K6" s="9"/>
      <c r="L6" s="9"/>
      <c r="M6" s="9"/>
      <c r="N6" s="9"/>
      <c r="O6" s="9"/>
      <c r="P6" s="9"/>
      <c r="Q6" s="9"/>
    </row>
    <row r="7" spans="1:17" ht="15" customHeight="1" x14ac:dyDescent="0.25">
      <c r="A7" s="9"/>
      <c r="B7" s="9"/>
      <c r="C7" s="9"/>
      <c r="D7" s="9"/>
      <c r="E7" s="9"/>
      <c r="F7" s="9"/>
      <c r="G7" s="9"/>
      <c r="H7" s="9"/>
      <c r="I7" s="9"/>
      <c r="J7" s="9"/>
      <c r="K7" s="9"/>
      <c r="L7" s="9"/>
      <c r="M7" s="9"/>
      <c r="N7" s="9"/>
      <c r="O7" s="9"/>
      <c r="P7" s="9"/>
      <c r="Q7" s="9"/>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workig_sheet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Mohd. Ali</cp:lastModifiedBy>
  <dcterms:created xsi:type="dcterms:W3CDTF">2022-03-18T02:50:57Z</dcterms:created>
  <dcterms:modified xsi:type="dcterms:W3CDTF">2026-06-28T14:28:23Z</dcterms:modified>
</cp:coreProperties>
</file>